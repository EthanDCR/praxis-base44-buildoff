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 Inventory" sheetId="1" r:id="rId5"/>
    <sheet state="visible" name="Column Profiles" sheetId="2" r:id="rId6"/>
    <sheet state="visible" name="Column Mapping" sheetId="3" r:id="rId7"/>
    <sheet state="visible" name="Data Quality" sheetId="4" r:id="rId8"/>
    <sheet state="visible" name="Issue Locations" sheetId="5" r:id="rId9"/>
    <sheet state="visible" name="Property Overlap" sheetId="6" r:id="rId10"/>
    <sheet state="visible" name="Contact Evidence" sheetId="7" r:id="rId11"/>
    <sheet state="visible" name="Canonical Schema" sheetId="8" r:id="rId12"/>
    <sheet state="visible" name="Normalization Rules" sheetId="9" r:id="rId13"/>
    <sheet state="visible" name="Matching Rules" sheetId="10" r:id="rId14"/>
    <sheet state="visible" name="Scoring &amp; Ranking" sheetId="11" r:id="rId15"/>
    <sheet state="visible" name="Decisions Needed" sheetId="12" r:id="rId16"/>
    <sheet state="visible" name="Estimated Effect" sheetId="13" r:id="rId17"/>
    <sheet state="visible" name="Implementation Plan" sheetId="14" r:id="rId18"/>
    <sheet state="visible" name="Transformation Preview" sheetId="15" r:id="rId19"/>
    <sheet state="visible" name="Roof Examples" sheetId="16" r:id="rId20"/>
    <sheet state="visible" name="Executive Summary" sheetId="17" r:id="rId21"/>
  </sheets>
  <definedNames>
    <definedName hidden="1" localSheetId="9" name="Z_D4FC1B12_37F0_4759_B07E_1288F7F18CE6_.wvu.FilterData">'Matching Rules'!$A$4:$E$14</definedName>
    <definedName hidden="1" localSheetId="1" name="Z_15D1E13F_AD72_4142_B0AA_121DE62687CA_.wvu.FilterData">'Column Profiles'!$A$4:$M$845</definedName>
    <definedName hidden="1" localSheetId="6" name="Z_32B5483F_49BD_4A47_A9CF_EC2FBC80516D_.wvu.FilterData">'Contact Evidence'!$A$12:$D$16</definedName>
    <definedName hidden="1" localSheetId="2" name="Z_B136AC63_3562_4077_9588_9901159BCF45_.wvu.FilterData">'Column Mapping'!$A$4:$K$845</definedName>
    <definedName hidden="1" localSheetId="8" name="Z_F1CA52A6_6071_4FDE_A5B8_5D2AB13D87FF_.wvu.FilterData">'Normalization Rules'!$A$4:$F$15</definedName>
    <definedName hidden="1" localSheetId="13" name="Z_785B8B9B_9F27_4BF3_88FD_7EEB7BF38D34_.wvu.FilterData">'Implementation Plan'!$A$4:$D$14</definedName>
    <definedName hidden="1" localSheetId="5" name="Z_0D331DA3_8F5D_44A0_B007_D2372CC1A6B5_.wvu.FilterData">'Property Overlap'!$A$12:$E$18</definedName>
    <definedName hidden="1" localSheetId="5" name="Z_AED783B0_2F23_4450_AD8F_6EF964C8D758_.wvu.FilterData">'Property Overlap'!$A$5:$G$9</definedName>
    <definedName hidden="1" localSheetId="7" name="Z_F734906F_666E_438F_B157_2D748F22433D_.wvu.FilterData">'Canonical Schema'!$A$4:$F$77</definedName>
    <definedName hidden="1" localSheetId="10" name="Z_93C2B33A_9799_4876_959A_E89A54693265_.wvu.FilterData">'Scoring &amp; Ranking'!$A$4:$C$10</definedName>
    <definedName hidden="1" localSheetId="3" name="Z_22F90642_4AA5_49A4_A620_638671FF4E55_.wvu.FilterData">'Data Quality'!$A$4:$J$30</definedName>
    <definedName hidden="1" localSheetId="6" name="Z_68B4BC81_81F8_4947_9237_23599D7167C5_.wvu.FilterData">'Contact Evidence'!$A$5:$F$9</definedName>
    <definedName hidden="1" localSheetId="16" name="Z_6E48000A_BC01_41BC_85DF_2085A5D4AB72_.wvu.FilterData">'Executive Summary'!$A$18:$C$24</definedName>
    <definedName hidden="1" localSheetId="11" name="Z_1C164B88_D1D7_4EE6_8825_625CBCAEEBC3_.wvu.FilterData">'Decisions Needed'!$A$4:$E$16</definedName>
    <definedName hidden="1" localSheetId="14" name="Z_A877C59B_318C_4CA7_880E_0D0B74A802F5_.wvu.FilterData">'Transformation Preview'!$A$4:$L$10</definedName>
    <definedName hidden="1" localSheetId="15" name="Z_9FBED371_B928_4F1E_BC52_E8E890B4F26E_.wvu.FilterData">'Roof Examples'!$A$4:$E$16</definedName>
    <definedName hidden="1" localSheetId="0" name="Z_EBDF1346_0967_47CC_ADE8_C150BCDFAD0A_.wvu.FilterData">'File Inventory'!$A$4:$R$8</definedName>
    <definedName hidden="1" localSheetId="4" name="Z_77CFAAD5_96F6_47AF_82F4_BC0F8432F5AC_.wvu.FilterData">'Issue Locations'!$A$4:$F$1070</definedName>
    <definedName hidden="1" localSheetId="12" name="Z_AB5A0AFD_2187_4DDB_A0FB_31420272FF80_.wvu.FilterData">'Estimated Effect'!$A$4:$C$25</definedName>
  </definedNames>
  <calcPr/>
  <customWorkbookViews>
    <customWorkbookView activeSheetId="0" maximized="1" windowHeight="0" windowWidth="0" guid="{D4FC1B12-37F0-4759-B07E-1288F7F18CE6}" name="MatchingRulesTable filter view"/>
    <customWorkbookView activeSheetId="0" maximized="1" windowHeight="0" windowWidth="0" guid="{15D1E13F-AD72-4142-B0AA-121DE62687CA}" name="ColumnProfilesTable filter view"/>
    <customWorkbookView activeSheetId="0" maximized="1" windowHeight="0" windowWidth="0" guid="{32B5483F-49BD-4A47-A9CF-EC2FBC80516D}" name="ScoreEvidenceTable filter view"/>
    <customWorkbookView activeSheetId="0" maximized="1" windowHeight="0" windowWidth="0" guid="{B136AC63-3562-4077-9588-9901159BCF45}" name="ColumnMappingTable filter view"/>
    <customWorkbookView activeSheetId="0" maximized="1" windowHeight="0" windowWidth="0" guid="{F1CA52A6-6071-4FDE-A5B8-5D2AB13D87FF}" name="NormalizationRulesTable filter view"/>
    <customWorkbookView activeSheetId="0" maximized="1" windowHeight="0" windowWidth="0" guid="{785B8B9B-9F27-4BF3-88FD-7EEB7BF38D34}" name="ImplementationPlanTable filter view"/>
    <customWorkbookView activeSheetId="0" maximized="1" windowHeight="0" windowWidth="0" guid="{0D331DA3-8F5D-44A0-B007-D2372CC1A6B5}" name="PropertyOverlapTable filter view"/>
    <customWorkbookView activeSheetId="0" maximized="1" windowHeight="0" windowWidth="0" guid="{AED783B0-2F23-4450-AD8F-6EF964C8D758}" name="PropertyAddressSummaryTable filter view"/>
    <customWorkbookView activeSheetId="0" maximized="1" windowHeight="0" windowWidth="0" guid="{F734906F-666E-438F-B157-2D748F22433D}" name="CanonicalSchemaTable filter view"/>
    <customWorkbookView activeSheetId="0" maximized="1" windowHeight="0" windowWidth="0" guid="{93C2B33A-9799-4876-959A-E89A54693265}" name="ScoringRankingTable filter view"/>
    <customWorkbookView activeSheetId="0" maximized="1" windowHeight="0" windowWidth="0" guid="{22F90642-4AA5-49A4-A620-638671FF4E55}" name="DataQualityIssuesTable filter view"/>
    <customWorkbookView activeSheetId="0" maximized="1" windowHeight="0" windowWidth="0" guid="{68B4BC81-81F8-4947-9237-23599D7167C5}" name="ContactInventoryTable filter view"/>
    <customWorkbookView activeSheetId="0" maximized="1" windowHeight="0" windowWidth="0" guid="{6E48000A-BC01-41BC-85DF-2085A5D4AB72}" name="ExecutiveFindingsTable filter view"/>
    <customWorkbookView activeSheetId="0" maximized="1" windowHeight="0" windowWidth="0" guid="{1C164B88-D1D7-4EE6-8825-625CBCAEEBC3}" name="DecisionsNeededTable filter view"/>
    <customWorkbookView activeSheetId="0" maximized="1" windowHeight="0" windowWidth="0" guid="{A877C59B-318C-4CA7-880E-0D0B74A802F5}" name="TransformationPreviewTable filter view"/>
    <customWorkbookView activeSheetId="0" maximized="1" windowHeight="0" windowWidth="0" guid="{9FBED371-B928-4F1E-BC52-E8E890B4F26E}" name="RoofExamplesTable filter view"/>
    <customWorkbookView activeSheetId="0" maximized="1" windowHeight="0" windowWidth="0" guid="{EBDF1346-0967-47CC-ADE8-C150BCDFAD0A}" name="FileInventoryTable filter view"/>
    <customWorkbookView activeSheetId="0" maximized="1" windowHeight="0" windowWidth="0" guid="{77CFAAD5-96F6-47AF-82F4-BC0F8432F5AC}" name="IssueLocationsTable filter view"/>
    <customWorkbookView activeSheetId="0" maximized="1" windowHeight="0" windowWidth="0" guid="{AB5A0AFD-2187-4DDB-A0FB-31420272FF80}" name="EstimatedEffectsTable filter view"/>
  </customWorkbookViews>
</workbook>
</file>

<file path=xl/sharedStrings.xml><?xml version="1.0" encoding="utf-8"?>
<sst xmlns="http://schemas.openxmlformats.org/spreadsheetml/2006/main" count="17578" uniqueCount="2628">
  <si>
    <t>Complete Source-to-Canonical Column Map</t>
  </si>
  <si>
    <t>Data-Quality and Inconsistency Report</t>
  </si>
  <si>
    <t>Phase 1 Source File Inventory</t>
  </si>
  <si>
    <t>Complete Column Profile</t>
  </si>
  <si>
    <t>All 841 source columns are mapped to a canonical field or explicitly retained as source-specific metadata; none are omitted.</t>
  </si>
  <si>
    <t>Counts are category-specific and may overlap. Examples are traceable to source file, record row, and column/slot.</t>
  </si>
  <si>
    <t>Every source column is included. Blank is counted separately from explicit Unknown and other placeholder tokens.</t>
  </si>
  <si>
    <t>Record row numbers are CSV record ordinals with the header as row 1; embedded newlines do not change record IDs.</t>
  </si>
  <si>
    <t>Issue ID</t>
  </si>
  <si>
    <t>Source File</t>
  </si>
  <si>
    <t>Category</t>
  </si>
  <si>
    <t>Source Path</t>
  </si>
  <si>
    <t>Issue</t>
  </si>
  <si>
    <t>Column #</t>
  </si>
  <si>
    <t>Affected Rows</t>
  </si>
  <si>
    <t>Bytes</t>
  </si>
  <si>
    <t>Affected Occurrences</t>
  </si>
  <si>
    <t>Original Column</t>
  </si>
  <si>
    <t>Files / Columns</t>
  </si>
  <si>
    <t>Representative Examples</t>
  </si>
  <si>
    <t>Representative Values</t>
  </si>
  <si>
    <t>Proposed Rule</t>
  </si>
  <si>
    <t>Inferred Type</t>
  </si>
  <si>
    <t>Proposed Canonical Field</t>
  </si>
  <si>
    <t>Risk</t>
  </si>
  <si>
    <t>Blank Count</t>
  </si>
  <si>
    <t>Automation / Review</t>
  </si>
  <si>
    <t>Proposed Type</t>
  </si>
  <si>
    <t>Blank %</t>
  </si>
  <si>
    <t>Encoding</t>
  </si>
  <si>
    <t>Entity Category</t>
  </si>
  <si>
    <t>Delimiter</t>
  </si>
  <si>
    <t>json_embedded</t>
  </si>
  <si>
    <t>Transformation / Parsing Rule</t>
  </si>
  <si>
    <t>Data Rows</t>
  </si>
  <si>
    <t>Confidence</t>
  </si>
  <si>
    <t>Columns</t>
  </si>
  <si>
    <t>Explicit Unknown</t>
  </si>
  <si>
    <t>Mapping Reason</t>
  </si>
  <si>
    <t>Empty File</t>
  </si>
  <si>
    <t>Other Placeholders</t>
  </si>
  <si>
    <t>Ambiguity / Decision</t>
  </si>
  <si>
    <t>Malformed Rows</t>
  </si>
  <si>
    <t>Distinct Raw Values</t>
  </si>
  <si>
    <t>Malformed Examples</t>
  </si>
  <si>
    <t>Multi-value Rows</t>
  </si>
  <si>
    <t>BatchData.csv</t>
  </si>
  <si>
    <t>Purpose Mismatch Rows</t>
  </si>
  <si>
    <t>Duplicate Headers</t>
  </si>
  <si>
    <t>Potential Identifier</t>
  </si>
  <si>
    <t>Unnamed Columns</t>
  </si>
  <si>
    <t>Structure</t>
  </si>
  <si>
    <t>Replacement Chars</t>
  </si>
  <si>
    <t>Exact Duplicate Groups</t>
  </si>
  <si>
    <t>Rows in Exact Duplicate Groups</t>
  </si>
  <si>
    <t>100% Blank Columns</t>
  </si>
  <si>
    <t>&gt;=99% Blank Columns</t>
  </si>
  <si>
    <t>Parsing Notes</t>
  </si>
  <si>
    <t>Storm event arrays are embedded as JSON inside CSV cells.</t>
  </si>
  <si>
    <t>D:\Downloads\BatchData.csv</t>
  </si>
  <si>
    <t>row_index</t>
  </si>
  <si>
    <t>0 | 1 | 2</t>
  </si>
  <si>
    <t>BatchData.csv: events_json; StormPull.csv: events_json</t>
  </si>
  <si>
    <t>source_record.source_row_index</t>
  </si>
  <si>
    <t>UTF-8</t>
  </si>
  <si>
    <t>BatchData.csv row 2, events_json: [{"date": "2026-06-22", "hail_size_inches": 0.9, "source": "MESH", "distance_miles": 0.94, "storm_report_available": false}, {"date": "2026- || BatchData.csv row 3, events_json: [{"date": "2025-05-23", "hail_size_inches": 0.77, "source": "MESH", "distance_miles": 0.81, "storm_report_available": false}, {"date": "2025 || BatchData.csv row 4, events_json: [{"date": "2025-09-24", "hail_size_inches": 0.92, "source": "MESH", "distance_miles": 0.55, "storm_report_available": false}, {"date": "2025 || BatchData.csv row 5, events_json: [{"date": "2026-07-05", "hail_size_inches": 0.94, "source": "MESH", "distance_miles": 0.5, "storm_report_available": false}, {"date": "2026- || BatchData.csv row 6, events_json: [{"date": "2026-06-23", "hail_size_inches": 0.87, "source": "MESH", "distance_miles": 0.88, "storm_report_available": false}, {"date": "2026</t>
  </si>
  <si>
    <t>integer</t>
  </si>
  <si>
    <t>Validate and preserve raw JSON; optionally normalize to property_event records after schema approval.</t>
  </si>
  <si>
    <t>text</t>
  </si>
  <si>
    <t>Low</t>
  </si>
  <si>
    <t>,</t>
  </si>
  <si>
    <t>Safe to validate; normalization requires schema approval.</t>
  </si>
  <si>
    <t>metadata</t>
  </si>
  <si>
    <t>Store as source-local ordinal; never use as a cross-file property ID.</t>
  </si>
  <si>
    <t>high</t>
  </si>
  <si>
    <t>No</t>
  </si>
  <si>
    <t>Header and sampled values consistently match this field.</t>
  </si>
  <si>
    <t>sparse_wide</t>
  </si>
  <si>
    <t>Parsed cleanly.</t>
  </si>
  <si>
    <t>StormPull.csv</t>
  </si>
  <si>
    <t>D:\Downloads\StormPull.csv</t>
  </si>
  <si>
    <t>street</t>
  </si>
  <si>
    <t>Medium: source-local row ordinal only; not cross-file stable.</t>
  </si>
  <si>
    <t>The repeated owner/contact layout creates many extremely sparse columns.</t>
  </si>
  <si>
    <t>6413 South Choctaw Road | 2390 Memorial Boulevard | 515 Cardinal Parkway</t>
  </si>
  <si>
    <t>property.address.street_1</t>
  </si>
  <si>
    <t>SalesMastery.csv: Additional Storm Dates, O10_Company, O10_E2_Email, O10_E3_Email, O10_E4_Email, O10_P2_Number (+444 more) — see Issue Locations for the complete list</t>
  </si>
  <si>
    <t>property</t>
  </si>
  <si>
    <t>SalesMastery.csv: 450 of 661 columns are at least 99% blank; 1 are entirely blank.</t>
  </si>
  <si>
    <t>Trim outer whitespace only; retain raw and create an approved normalized address separately.</t>
  </si>
  <si>
    <t>Unpivot repeated owner, phone, and email slots into occurrence tables while preserving source column and slot identifiers.</t>
  </si>
  <si>
    <t>Safe structural reshaping after schema approval.</t>
  </si>
  <si>
    <t>placeholder_semantic</t>
  </si>
  <si>
    <t>Missingness</t>
  </si>
  <si>
    <t>Explicit placeholder tokens occur in semantic fields.</t>
  </si>
  <si>
    <t>city</t>
  </si>
  <si>
    <t>Choctaw | Kerrville | Durant</t>
  </si>
  <si>
    <t>SalesMastery.csv</t>
  </si>
  <si>
    <t>BatchData.csv: street; SalesMastery.csv: Building Type, Business Name, City, O10_P1_Type, O10_P2_Type, O10_P8_Type (+97 more); StormPull.csv: city, street — see Issue Locations for the complete list</t>
  </si>
  <si>
    <t>D:\Downloads\SalesMastery.csv</t>
  </si>
  <si>
    <t>property.address.city</t>
  </si>
  <si>
    <t>BatchData.csv row 7893, street: Unknown || StormPull.csv row 2264, street: Unknown || StormPull.csv row 2264, city: Unknown || StormPull.csv row 2968, street: Unknown || StormPull.csv row 2968, city: Unknown</t>
  </si>
  <si>
    <t>Preserve raw token and model missingness_state separately as blank, explicit_unknown, other_placeholder, or present.</t>
  </si>
  <si>
    <t>Safe to automate token classification; do not replace raw values.</t>
  </si>
  <si>
    <t>Trim outer whitespace; preserve raw casing.</t>
  </si>
  <si>
    <t>phone_name_collision</t>
  </si>
  <si>
    <t>Entity resolution</t>
  </si>
  <si>
    <t>An exact normalized phone is associated with multiple distinct normalized names.</t>
  </si>
  <si>
    <t>BatchData.csv: p1, p2, p3; DealMachine.csv: likely_owner_1, likely_owner_2, likely_owner_3, likely_owner_4, likely_owner_5; SalesMastery.csv: O1, O10, O11, O12, O13, O14 (+14 more) — see Issue Locations for the complete list</t>
  </si>
  <si>
    <t>BatchData.csv row 2, p1: 2536910067 (names: DERRICK A ROBERTS | DERRICK ROBERTS) || DealMachine.csv row 1614, likely_owner_2: 2536910067 (names: DERRICK A ROBERTS | DERRICK ROBERTS) || BatchData.csv row 6, p1: 5126997581 (names: CAROL KAY CASTLEMAN | MICHAEL SHEA CASTLEMAN) || BatchData.csv row 6, p2: 5126997581 (names: CAROL KAY CASTLEMAN | MICHAEL SHEA CASTLEMAN) || BatchData.csv row 6, p1: 5122664588 (names: CAROL KAY CASTLEMAN | MICHAEL SHEA CASTLEMAN)</t>
  </si>
  <si>
    <t>Do not merge on phone alone; require corroborating name/company/property evidence.</t>
  </si>
  <si>
    <t>High</t>
  </si>
  <si>
    <t>Review before merging contacts.</t>
  </si>
  <si>
    <t>state</t>
  </si>
  <si>
    <t>DealMachine.csv</t>
  </si>
  <si>
    <t>OK | TX | MO</t>
  </si>
  <si>
    <t>property_attr_conflict</t>
  </si>
  <si>
    <t>property.address.state</t>
  </si>
  <si>
    <t>Conflicts</t>
  </si>
  <si>
    <t>D:\Downloads\DealMachine.csv</t>
  </si>
  <si>
    <t>Exact-address property candidates carry conflicting nonblank property attributes.</t>
  </si>
  <si>
    <t>Uppercase valid US state code in normalized value; preserve raw.</t>
  </si>
  <si>
    <t>BatchData.csv: hail_date; DealMachine.csv: building_area_sqft, property_type, roof_type; SalesMastery.csv: building_area_sqft, hail_date, property_type, roof_type; StormPull.csv: hail_date</t>
  </si>
  <si>
    <t>BatchData.csv row 2, hail_date: 2026-07-05 (address key 6413 SOUTH CHOCTAW ROAD|CHOCTAW|OK|73020) || StormPull.csv row 2, hail_date: 2026-07-05 (address key 6413 SOUTH CHOCTAW ROAD|CHOCTAW|OK|73020) || SalesMastery.csv row 2, hail_date: 2026-07-08 (address key 6413 SOUTH CHOCTAW ROAD|CHOCTAW|OK|73020) || BatchData.csv row 3, hail_date: 2026-07-16 (address key 2390 MEMORIAL BOULEVARD|KERRVILLE|TX|78028) || StormPull.csv row 3, hail_date: 2026-07-16 (address key 2390 MEMORIAL BOULEVARD|KERRVILLE|TX|78028)</t>
  </si>
  <si>
    <t>Retain every sourced value; select a display value only through an approved source/recency rule.</t>
  </si>
  <si>
    <t>Review or approved precedence rule required.</t>
  </si>
  <si>
    <t>zip</t>
  </si>
  <si>
    <t>73020 | 78028 | 74701</t>
  </si>
  <si>
    <t>company_in_name</t>
  </si>
  <si>
    <t>property.address.zip_code</t>
  </si>
  <si>
    <t>Entity classification</t>
  </si>
  <si>
    <t>Company-like values appear in nominal person/owner name fields.</t>
  </si>
  <si>
    <t>Store as text; preserve leading zeros and ZIP+4.</t>
  </si>
  <si>
    <t>BatchData.csv: p1_name, p2_name, p3_name; DealMachine.csv: likely_owner_contact_1_full_name, likely_owner_contact_2_full_name, owner_1_full_name, owner_2_full_name; SalesMastery.csv: O10_Name, O11_Name, O12_Name, O13_Name, O14_Name, O1_Name (+9 more) — see Issue Locations for the complete list</t>
  </si>
  <si>
    <t>BatchData.csv row 3, p1_name: Tony Roberts Homes || BatchData.csv row 65, p1_name: Beach Promenade Llc || BatchData.csv row 65, p2_name: Beach Promenade Llc || BatchData.csv row 65, p3_name: Beach Promenade Llc || BatchData.csv row 118, p1_name: Pine Lakes Acquisitions Llc</t>
  </si>
  <si>
    <t>Classify using an approved legal-suffix/business-pattern rule; retain uncertain values as contact_type=unknown.</t>
  </si>
  <si>
    <t>Medium</t>
  </si>
  <si>
    <t>Review classification candidates; do not move automatically yet.</t>
  </si>
  <si>
    <t>text/identifier</t>
  </si>
  <si>
    <t>phone_format_variant</t>
  </si>
  <si>
    <t>Formatting variants</t>
  </si>
  <si>
    <t>full_address_formatted</t>
  </si>
  <si>
    <t>The same normalized phone appears in multiple raw formats.</t>
  </si>
  <si>
    <t>6413 S Choctaw Rd, Choctaw, OK 73020, USA | 2390 Memorial Blvd, Kerrville, TX 78028, USA | 515 Cardinal Pkwy, Durant, OK 74701, USA</t>
  </si>
  <si>
    <t>property.address.full_formatted_raw</t>
  </si>
  <si>
    <t>BatchData.csv: p1_phone1, p1_phone2, p1_phone3, p1_phone4, p1_phone5, p2_phone1 (+9 more); DealMachine.csv: likely_owner_contact_1_phone_number_1, likely_owner_contact_1_phone_number_2, likely_owner_contact_1_phone_number_3, likely_owner_contact_2_phone_number_1, likely_owner_contact_2_phone_number_2, likely_owner_contact_2_phone_number_3 (+9 more); SalesMastery.csv: O10_P1_Number, O10_P2_Number, O11_P1_Number, O11_P2_Number, O11_P3_Number, O11_P4_Number (+71 more) — see Issue Locations for the complete list</t>
  </si>
  <si>
    <t>No: identifier-like text component; insufficient alone.</t>
  </si>
  <si>
    <t>Preserve vendor-formatted address; do not make it authoritative over components.</t>
  </si>
  <si>
    <t>BatchData.csv row 9, p1_phone1: 9032496790 (normalized 9032496790; forms: (903) 249-6790 | 9032496790) || BatchData.csv row 12, p1_phone1: 9032496790 (normalized 9032496790; forms: (903) 249-6790 | 9032496790) || SalesMastery.csv row 1548, O1_P1_Number: (903) 249-6790 (normalized 9032496790; forms: (903) 249-6790 | 9032496790) || BatchData.csv row 9, p1_phone2: 9037854594 (normalized 9037854594; forms: (903) 785-4594 | 9037854594) || BatchData.csv row 12, p1_phone2: 9037854594 (normalized 9037854594; forms: (903) 785-4594 | 9037854594)</t>
  </si>
  <si>
    <t>Retain every raw form; score/match only on the approved normalized number and extension key.</t>
  </si>
  <si>
    <t>Safe after phone normalization approval.</t>
  </si>
  <si>
    <t>geocode_confidence</t>
  </si>
  <si>
    <t>email_name_collision</t>
  </si>
  <si>
    <t>ROOFTOP | GEOMETRIC_CENTER | RANGE_INTERPOLATED</t>
  </si>
  <si>
    <t>property.geocode.confidence_raw</t>
  </si>
  <si>
    <t>An exact normalized email is associated with multiple distinct normalized names.</t>
  </si>
  <si>
    <t>Preserve vendor category and map only through an approved vocabulary.</t>
  </si>
  <si>
    <t>BatchData.csv row 2, p1: derrick.roberts87@gmail.com (names: DERRICK A ROBERTS | DERRICK ROBERTS) || DealMachine.csv row 1614, likely_owner_2: derrick.roberts87@gmail.com (names: DERRICK A ROBERTS | DERRICK ROBERTS) || BatchData.csv row 2, p1: derrickroberts87@gmail.com (names: DERRICK A ROBERTS | DERRICK ROBERTS) || DealMachine.csv row 1614, likely_owner_2: derrickroberts87@gmail.com (names: DERRICK A ROBERTS | DERRICK ROBERTS) || BatchData.csv row 30, p1: ginger.bradshaw@address.com (names: GINGER BRADSHAW | GINGER MARIE BRADSHAW)</t>
  </si>
  <si>
    <t>lat</t>
  </si>
  <si>
    <t>Treat as probable/ambiguous until name changes, shared mailboxes, and company accounts are reviewed.</t>
  </si>
  <si>
    <t>35.4014832 | 30.0243107 | 34.0015173</t>
  </si>
  <si>
    <t>property.geocode.latitude</t>
  </si>
  <si>
    <t>decimal</t>
  </si>
  <si>
    <t>Parse decimal if valid; preserve raw.</t>
  </si>
  <si>
    <t>age_is_date</t>
  </si>
  <si>
    <t>Column semantics</t>
  </si>
  <si>
    <t>BatchData p*_age fields contain ISO date values rather than numeric ages.</t>
  </si>
  <si>
    <t>BatchData.csv: p1_age, p2_age, p3_age</t>
  </si>
  <si>
    <t>BatchData.csv row 2, p1_age: 1987-07-09T00:00:00.000Z || BatchData.csv row 3, p2_age: 1946-04-16T00:00:00.000Z || BatchData.csv row 6, p1_age: 1966-02-01T00:00:00.000Z || BatchData.csv row 6, p2_age: 1967-08-16T00:00:00.000Z || BatchData.csv row 6, p3_age: 1970-01-10T00:00:00.000Z</t>
  </si>
  <si>
    <t>Map provisionally to birth_date_raw, preserve source header, and confirm semantics/retention before use.</t>
  </si>
  <si>
    <t>High (semantic/privacy)</t>
  </si>
  <si>
    <t>lon</t>
  </si>
  <si>
    <t>User decision required.</t>
  </si>
  <si>
    <t>-97.266665 | -99.1267649 | -96.4536733</t>
  </si>
  <si>
    <t>property.geocode.longitude</t>
  </si>
  <si>
    <t>address_full_mismatch</t>
  </si>
  <si>
    <t>Addresses</t>
  </si>
  <si>
    <t>Formatted full address does not contain all nonblank source address components after conservative normalization.</t>
  </si>
  <si>
    <t>events_found</t>
  </si>
  <si>
    <t>52 | 18 | 31</t>
  </si>
  <si>
    <t>property.storm_summary.events_found</t>
  </si>
  <si>
    <t>integer/text</t>
  </si>
  <si>
    <t>Parse integer if valid; preserve raw.</t>
  </si>
  <si>
    <t>BatchData.csv: full_address_formatted; StormPull.csv: full_address_formatted</t>
  </si>
  <si>
    <t>BatchData.csv row 2, full_address_formatted: 6413 S Choctaw Rd, Choctaw, OK 73020, USA (missing component(s): 6413 South Choctaw Road) || BatchData.csv row 3, full_address_formatted: 2390 Memorial Blvd, Kerrville, TX 78028, USA (missing component(s): 2390 Memorial Boulevard) || BatchData.csv row 4, full_address_formatted: 515 Cardinal Pkwy, Durant, OK 74701, USA (missing component(s): 515 Cardinal Parkway) || BatchData.csv row 5, full_address_formatted: 1611 S Division St, Guthrie, OK 73044, USA (missing component(s): 1611 South Division Street) || BatchData.csv row 6, full_address_formatted: 2420 FM79, Paris, TX 75460, USA (missing component(s): 2420 Farm to Market Road 79)</t>
  </si>
  <si>
    <t>score_value</t>
  </si>
  <si>
    <t>Keep components and formatted address separately; do not overwrite either; review geocoding/vendor semantics.</t>
  </si>
  <si>
    <t>87 | 70 | 88</t>
  </si>
  <si>
    <t>property.storm_summary.score_value</t>
  </si>
  <si>
    <t>Parse decimal/integer if valid; preserve vendor scoring context.</t>
  </si>
  <si>
    <t>Review mismatches; no automatic correction.</t>
  </si>
  <si>
    <t>score_tier</t>
  </si>
  <si>
    <t>Severe | High | Moderate</t>
  </si>
  <si>
    <t>property.storm_summary.score_tier</t>
  </si>
  <si>
    <t>name_format_variant</t>
  </si>
  <si>
    <t>Preserve raw; map with approved controlled vocabulary.</t>
  </si>
  <si>
    <t>The same conservative normalized name appears in multiple raw case/punctuation/spacing formats.</t>
  </si>
  <si>
    <t>BatchData.csv: p1, p2, p3; DealMachine.csv: likely_owner_1, likely_owner_2, likely_owner_3, likely_owner_4, likely_owner_5, recorded_owner_1 (+1 more); SalesMastery.csv: O1, O10, O11, O2, O3, O4 (+5 more) — see Issue Locations for the complete list</t>
  </si>
  <si>
    <t>largest_hail_inches</t>
  </si>
  <si>
    <t>BatchData.csv row 297, p1: Aabha Gorawara (forms: AABHA GORAWARA | Aabha Gorawara) || BatchData.csv row 298, p1: Aabha Gorawara (forms: AABHA GORAWARA | Aabha Gorawara) || BatchData.csv row 300, p1: Aabha Gorawara (forms: AABHA GORAWARA | Aabha Gorawara) || BatchData.csv row 303, p1: Aabha Gorawara (forms: AABHA GORAWARA | Aabha Gorawara) || BatchData.csv row 305, p1: Aabha Gorawara (forms: AABHA GORAWARA | Aabha Gorawara)</t>
  </si>
  <si>
    <t>1.5 | 0.99 | 1.87</t>
  </si>
  <si>
    <t>Retain all raw forms and select a display form through approved source/format rules.</t>
  </si>
  <si>
    <t>property.storm_summary.largest_hail_inches</t>
  </si>
  <si>
    <t>Normalization is safe; display selection requires an approved rule.</t>
  </si>
  <si>
    <t>Parse decimal inches if valid.</t>
  </si>
  <si>
    <t>email_format_variant</t>
  </si>
  <si>
    <t>The same normalized email appears with casing or outer-whitespace variants.</t>
  </si>
  <si>
    <t>largest_hail_date</t>
  </si>
  <si>
    <t>BatchData.csv: p1_email1, p1_email2, p1_email3, p2_email1, p2_email2, p2_email3 (+3 more); DealMachine.csv: likely_owner_contact_1_email_address_1, likely_owner_contact_1_email_address_2, likely_owner_contact_1_email_address_3, likely_owner_contact_2_email_address_1, likely_owner_contact_2_email_address_2, likely_owner_contact_2_email_address_3 (+9 more); SalesMastery.csv: O10_E1_Email, O11_E1_Email, O1_E1_Email, O1_E2_Email, O1_E3_Email, O1_E4_Email (+25 more) — see Issue Locations for the complete list</t>
  </si>
  <si>
    <t>2024-06-04 | 2025-05-06 | 2025-09-24</t>
  </si>
  <si>
    <t>BatchData.csv row 2, p1_email2: derrick.roberts87@gmail.com (normalized derrick.roberts87@gmail.com; forms: DERRICK.ROBERTS87@GMAIL.COM | derrick.roberts87@gmail.com) || DealMachine.csv row 1614, likely_owner_contact_2_email_address_1: DERRICK.ROBERTS87@GMAIL.COM (normalized derrick.roberts87@gmail.com; forms: DERRICK.ROBERTS87@GMAIL.COM | derrick.roberts87@gmail.com) || BatchData.csv row 2, p1_email3: derrickroberts87@gmail.com (normalized derrickroberts87@gmail.com; forms: DERRICKROBERTS87@GMAIL.COM | derrickroberts87@gmail.com) || DealMachine.csv row 1614, likely_owner_contact_2_email_address_2: DERRICKROBERTS87@GMAIL.COM (normalized derrickroberts87@gmail.com; forms: DERRICKROBERTS87@GMAIL.COM | derrickroberts87@gmail.com) || BatchData.csv row 30, p1_email1: ginger.bradshaw@address.com (normalized ginger.bradshaw@address.com; forms: GINGER.BRADSHAW@ADDRESS.COM | ginger.bradshaw@address.com)</t>
  </si>
  <si>
    <t>property.storm_summary.largest_hail_date</t>
  </si>
  <si>
    <t>Retain every raw form; use trimmed lowercase only as the exact match/scoring key.</t>
  </si>
  <si>
    <t>date/datetime</t>
  </si>
  <si>
    <t>Safe after email normalization approval.</t>
  </si>
  <si>
    <t>multi_generic</t>
  </si>
  <si>
    <t>Parse ISO date if valid.</t>
  </si>
  <si>
    <t>Multi-value cells</t>
  </si>
  <si>
    <t>A source cell appears to contain multiple values.</t>
  </si>
  <si>
    <t>BatchData.csv: p1_name, p2_name, p3_name; DealMachine.csv: owner_1_full_name, owner_2_full_name; SalesMastery.csv: Additional Storm Dates, Business Name, Description, Notes, O10_Name, O10_P1_Type (+118 more) — see Issue Locations for the complete list</t>
  </si>
  <si>
    <t>BatchData.csv row 842, p1_name: Neeha Hotels Llc &amp; Orgam Llc (field-specific delimiter detected) || BatchData.csv row 842, p2_name: Neeha Hotels Llc &amp; Orgam Llc (field-specific delimiter detected) || BatchData.csv row 842, p3_name: Neeha Hotels Llc &amp; Orgam Llc (field-specific delimiter detected) || BatchData.csv row 901, p1_name: Neil O Anderson And Associates Inc (field-specific delimiter detected) || BatchData.csv row 901, p2_name: Neil O Anderson And Associates Inc (field-specific delimiter detected)</t>
  </si>
  <si>
    <t>Parse only by field-specific delimiter rules; keep the original cell value and token order.</t>
  </si>
  <si>
    <t>Field-specific review required.</t>
  </si>
  <si>
    <t>most_recent_event_date</t>
  </si>
  <si>
    <t>date</t>
  </si>
  <si>
    <t>2026-07-05 | 2026-07-16 | 2025-09-24</t>
  </si>
  <si>
    <t>roof_multi</t>
  </si>
  <si>
    <t>property.storm_summary.most_recent_event_date</t>
  </si>
  <si>
    <t>Roof classification</t>
  </si>
  <si>
    <t>Roof fields contain multiple classifications in one cell.</t>
  </si>
  <si>
    <t>SalesMastery.csv: Roof Types</t>
  </si>
  <si>
    <t>SalesMastery.csv row 6, Roof Types: unknown | metal || SalesMastery.csv row 7, Roof Types: unknown | flat || SalesMastery.csv row 326, Roof Types: unknown | shingle || SalesMastery.csv row 748, Roof Types: unknown | mod_bit; shingle || SalesMastery.csv row 848, Roof Types: tpo; shingle | unknown</t>
  </si>
  <si>
    <t>Split on reviewed delimiters, trim tokens, preserve order, de-duplicate exact normalized tokens, and retain raw.</t>
  </si>
  <si>
    <t>Requires vocabulary and delimiter review.</t>
  </si>
  <si>
    <t>combined_name</t>
  </si>
  <si>
    <t>Name fields appear to combine multiple people or entities.</t>
  </si>
  <si>
    <t>most_recent_hail_inches</t>
  </si>
  <si>
    <t>0.52 | 0.5 | 1.31</t>
  </si>
  <si>
    <t>BatchData.csv: p1_name, p2_name, p3_name; DealMachine.csv: owner_1_full_name, owner_2_full_name; SalesMastery.csv: O10_Name, O11_Name, O1_Name, O2_Name, O3_Name, O4_Name (+5 more) — see Issue Locations for the complete list</t>
  </si>
  <si>
    <t>property.storm_summary.most_recent_hail_inches</t>
  </si>
  <si>
    <t>BatchData.csv row 842, p1_name: Neeha Hotels Llc &amp; Orgam Llc || BatchData.csv row 842, p2_name: Neeha Hotels Llc &amp; Orgam Llc || BatchData.csv row 842, p3_name: Neeha Hotels Llc &amp; Orgam Llc || BatchData.csv row 901, p1_name: Neil O Anderson And Associates Inc || BatchData.csv row 901, p2_name: Neil O Anderson And Associates Inc</t>
  </si>
  <si>
    <t>Preserve raw value and parse only with approved separators and corroborating contact methods/roles.</t>
  </si>
  <si>
    <t>Review required before splitting entities.</t>
  </si>
  <si>
    <t>unknown_roof_mixed</t>
  </si>
  <si>
    <t>'Unknown' appears alongside one or more valid-looking roof tokens.</t>
  </si>
  <si>
    <t>For roof fields only, propose removing Unknown from the normalized token list when another approved roof token exists; preserve raw.</t>
  </si>
  <si>
    <t>Low after vocabulary approval</t>
  </si>
  <si>
    <t>days_since_last_event</t>
  </si>
  <si>
    <t>Automate only after the roof-specific rule and vocabulary are approved.</t>
  </si>
  <si>
    <t>31 | 20 | 315</t>
  </si>
  <si>
    <t>company_suffix_variant</t>
  </si>
  <si>
    <t>property.storm_summary.days_since_last_event</t>
  </si>
  <si>
    <t>Company candidates share a relaxed base name but differ by legal suffix or punctuation.</t>
  </si>
  <si>
    <t>Parse integer if valid; validate against event date at implementation.</t>
  </si>
  <si>
    <t>BatchData.csv: p1, p2, p3; DealMachine.csv: recorded_owner_1, recorded_owner_2; SalesMastery.csv: O1, O1.company, O10, O10.company, O11, O14 (+13 more) — see Issue Locations for the complete list</t>
  </si>
  <si>
    <t>BatchData.csv row 1284, p1: Ics Construction Services (relaxed base ICS CONSTRUCTION SERVICES; forms: ICS Construction Services, Ltd. | Ics Construction Services | Ics Construction Services Ltd) || BatchData.csv row 1284, p2: Ics Construction Services Ltd (relaxed base ICS CONSTRUCTION SERVICES; forms: ICS Construction Services, Ltd. | Ics Construction Services | Ics Construction Services Ltd) || SalesMastery.csv row 1485, O7.company: ICS Construction Services, Ltd. (relaxed base ICS CONSTRUCTION SERVICES; forms: ICS Construction Services, Ltd. | Ics Construction Services | Ics Construction Services Ltd) || BatchData.csv row 1428, p1: Amerco Real Estate Co (relaxed base AMERCO REAL ESTATE; forms: Amerco Real Estate Co | Amerco Real Estate Company) || SalesMastery.csv row 1693, O1.company: Amerco Real Estate Company (relaxed base AMERCO REAL ESTATE; forms: Amerco Real Estate Co | Amerco Real Estate Company)</t>
  </si>
  <si>
    <t>Use the relaxed key only to create review candidates; do not merge or increase source score without corroboration.</t>
  </si>
  <si>
    <t>Review/corroboration required.</t>
  </si>
  <si>
    <t>name_order_candidate</t>
  </si>
  <si>
    <t>total_events_10yr</t>
  </si>
  <si>
    <t>92 | 59 | 62</t>
  </si>
  <si>
    <t>The same source property row contains names whose token order is reversed.</t>
  </si>
  <si>
    <t>property.storm_summary.total_events_10yr</t>
  </si>
  <si>
    <t>DealMachine.csv: likely_owner_1, likely_owner_2, likely_owner_3, recorded_owner_1, recorded_owner_2; SalesMastery.csv: O1, O2, O3, O4, O5, O6 (+2 more) — see Issue Locations for the complete list</t>
  </si>
  <si>
    <t>SalesMastery.csv row 3715, O1: Jacob Pavin (reversed form: Pavin Jacob) || SalesMastery.csv row 3715, O2: Pavin Jacob (reversed form: Jacob Pavin) || SalesMastery.csv row 5056, O2: Mortaza Irannezhad (reversed form: Irannezhad Mortaza) || SalesMastery.csv row 5056, O4: Irannezhad Mortaza (reversed form: Mortaza Irannezhad) || SalesMastery.csv row 5267, O3: Cadieux Chester (reversed form: Chester Cadieux)</t>
  </si>
  <si>
    <t>Parse integer if valid.</t>
  </si>
  <si>
    <t>Treat as a possible LAST FIRST versus FIRST LAST representation; require corroborating phone/email evidence before equivalence.</t>
  </si>
  <si>
    <t>Review required before name parsing or merging.</t>
  </si>
  <si>
    <t>person_in_company</t>
  </si>
  <si>
    <t>Person-like values appear in explicit company fields.</t>
  </si>
  <si>
    <t>damaging_events_10yr</t>
  </si>
  <si>
    <t>SalesMastery.csv: O10_Company, O1_Company, O2_Company, O3_Company, O4_Company, O5_Company (+1 more)</t>
  </si>
  <si>
    <t>property.storm_summary.damaging_events_10yr</t>
  </si>
  <si>
    <t>SalesMastery.csv row 6, O1_Company: Century Products || SalesMastery.csv row 845, O1_Company: Harvest Christian Centre || SalesMastery.csv row 852, O4_Company: Zumbiel headquarters || SalesMastery.csv row 905, O1_Company: Westerfield Townhouses || SalesMastery.csv row 1089, O2_Company: St. Charles County</t>
  </si>
  <si>
    <t>Flag for review; do not automatically split or reclassify based on token count alone.</t>
  </si>
  <si>
    <t>Manual or corroborated review required.</t>
  </si>
  <si>
    <t>invalid_email</t>
  </si>
  <si>
    <t>Contact methods</t>
  </si>
  <si>
    <t>Nonblank, non-placeholder email values fail a conservative syntax check.</t>
  </si>
  <si>
    <t>SalesMastery.csv: O1_E1_Email, O1_E2_Email, O1_E3_Email, O1_E4_Email, O1_E5_Email, O1_Personal_Email (+6 more)</t>
  </si>
  <si>
    <t>SalesMastery.csv row 379, O1_Personal_Email: dalmarkgroup.com || SalesMastery.csv row 429, O1_Personal_Email: https://weigandomega.com/ || SalesMastery.csv row 822, O1_Personal_Email: trmoassistant@monarchinvestments || SalesMastery.csv row 1167, O1_E4_Email: 16083457833 || SalesMastery.csv row 1193, O1_E4_Email: (314)-531-5143</t>
  </si>
  <si>
    <t>Retain raw value, mark invalid, exclude from matching and scoring, and send to review.</t>
  </si>
  <si>
    <t>events_last_12mo</t>
  </si>
  <si>
    <t>19 | 11 | 7</t>
  </si>
  <si>
    <t>property.storm_summary.events_last_12mo</t>
  </si>
  <si>
    <t>Safe to automate validation; correction requires review.</t>
  </si>
  <si>
    <t>invalid_phone</t>
  </si>
  <si>
    <t>Nonblank, non-placeholder phone values fail a conservative North American validation check.</t>
  </si>
  <si>
    <t>Complete Data-Quality Issue Location Index</t>
  </si>
  <si>
    <t>SalesMastery.csv: O1_P1_Number, O1_P2_Number, O1_Personal_Phone, O2_P1_Number, O2_P2_Number, O2_P3_Number (+15 more) — see Issue Locations for the complete list</t>
  </si>
  <si>
    <t>This filtered index expands every issue category to every implicated source file and column/slot; the Data Quality sheet contains the category-level counts, examples, risk, and proposed rule.</t>
  </si>
  <si>
    <t>SalesMastery.csv row 852, O4_Personal_Phone: 513- || SalesMastery.csv row 1624, O1_P1_Number: (918)-196-4334 || SalesMastery.csv row 2553, O1_P1_Number: 19704341912117 || SalesMastery.csv row 2630, O7_P1_Number: 1770433821185193 || SalesMastery.csv row 2640, O5_P1_Number: 13147717678101</t>
  </si>
  <si>
    <t>Retain raw value, mark invalid, exclude from exact matching/scoring, and review country-code assumptions.</t>
  </si>
  <si>
    <t>Validation can be automated; interpretation may require review.</t>
  </si>
  <si>
    <t>events_last_36mo</t>
  </si>
  <si>
    <t>Source Column / Slot</t>
  </si>
  <si>
    <t>76 | 42 | 27</t>
  </si>
  <si>
    <t>roof_vocabulary_variant</t>
  </si>
  <si>
    <t>Affected Occurrences at Location</t>
  </si>
  <si>
    <t>property.storm_summary.events_last_36mo</t>
  </si>
  <si>
    <t>Roof tokens have punctuation, spacing, or spelling variants that may represent one vocabulary value.</t>
  </si>
  <si>
    <t>SalesMastery.csv: Roof Size (Sq)</t>
  </si>
  <si>
    <t>SalesMastery.csv row 989, Roof Size (Sq): 414.4 (forms: 414.4 | 4144) || SalesMastery.csv row 8448, Roof Size (Sq): 4144 (forms: 414.4 | 4144) || SalesMastery.csv row 1126, Roof Size (Sq): 1638 (forms: 163.8 | 1638) || SalesMastery.csv row 9863, Roof Size (Sq): 163.8 (forms: 163.8 | 1638) || SalesMastery.csv row 1261, Roof Size (Sq): 1755 (forms: 175.5 | 1755)</t>
  </si>
  <si>
    <t>Create an approved controlled vocabulary and explicit synonym table; preserve every raw token.</t>
  </si>
  <si>
    <t>Vocabulary review required.</t>
  </si>
  <si>
    <t>zip_invalid</t>
  </si>
  <si>
    <t>Identifiers and formats</t>
  </si>
  <si>
    <t>ZIP values are nonblank but not 5-digit or ZIP+4 format.</t>
  </si>
  <si>
    <t>events_json</t>
  </si>
  <si>
    <t>BatchData.csv: zip; SalesMastery.csv: Zip; StormPull.csv: zip</t>
  </si>
  <si>
    <t>[{"date": "2026-06-22", "hail_size_inches": 0.9, "source": "MESH", "distance_miles": 0.94, "storm_report_available": false}, {"date": "2026-06-22", "hail_size_i | [{"date": "2025-05-23", "hail_size_inches": 0.77, "source": "MESH", "distance_miles": 0.81, "storm_report_available": false}, {"date": "2025-05-23", "hail_size_ | [{"date": "2025-09-24", "hail_size_inches": 0.92, "source": "MESH", "distance_miles": 0.55, "storm_report_available": false}, {"date": "2025-09-24", "hail_size_</t>
  </si>
  <si>
    <t>BatchData.csv row 3470, zip: 1822 Banks Dr, Weatherford, TX, 76087 || StormPull.csv row 4344, zip: 1822 Banks Dr, Weatherford, TX, 76087 || SalesMastery.csv row 4345, Zip: 1822 Banks Dr, Weatherford, TX, 76087</t>
  </si>
  <si>
    <t>property.storm_events.raw_json</t>
  </si>
  <si>
    <t>Store as text, preserve raw, validate without padding unless state/country rules support it.</t>
  </si>
  <si>
    <t>Validate JSON and preserve verbatim; normalize to an event child table only after approval.</t>
  </si>
  <si>
    <t>Validation can be automated; correction requires review.</t>
  </si>
  <si>
    <t>JSON/text</t>
  </si>
  <si>
    <t>encoding_marker</t>
  </si>
  <si>
    <t>Replacement or mojibake-like characters appear in source text.</t>
  </si>
  <si>
    <t>status</t>
  </si>
  <si>
    <t>success</t>
  </si>
  <si>
    <t>p1_age</t>
  </si>
  <si>
    <t>BatchData.csv row 7413, full_address_formatted: St. Peter���s, 921 Jungermann Rd, St Peters, MO 63376, USA || StormPull.csv row 9268, full_address_formatted: St. Peter���s, 921 Jungermann Rd, St Peters, MO 63376, USA</t>
  </si>
  <si>
    <t>source_record.processing_status</t>
  </si>
  <si>
    <t>Preserve bytes/raw text, identify source encoding, and repair only with an approved deterministic rule.</t>
  </si>
  <si>
    <t>Review required.</t>
  </si>
  <si>
    <t>Preserve exact source status.</t>
  </si>
  <si>
    <t>multi_phone</t>
  </si>
  <si>
    <t>More than one phone-like number appears in a nominally single phone field.</t>
  </si>
  <si>
    <t>error_code</t>
  </si>
  <si>
    <t>SalesMastery.csv: O1_Personal_Phone</t>
  </si>
  <si>
    <t>source_record.error_code</t>
  </si>
  <si>
    <t>p2_age</t>
  </si>
  <si>
    <t>SalesMastery.csv row 3477, O1_Personal_Phone: (917) 716-5940 | (908) 739-7145 | (845) 702-8828 |</t>
  </si>
  <si>
    <t>Extract phone occurrences with extension handling only after field-specific parsing review; preserve raw.</t>
  </si>
  <si>
    <t>Preserve exact source error code.</t>
  </si>
  <si>
    <t>Review parsing examples before automation.</t>
  </si>
  <si>
    <t>phone_extension</t>
  </si>
  <si>
    <t>Phone extensions are embedded in phone values.</t>
  </si>
  <si>
    <t>error_message</t>
  </si>
  <si>
    <t>p3_age</t>
  </si>
  <si>
    <t>empty/unknown</t>
  </si>
  <si>
    <t>source_record.error_message</t>
  </si>
  <si>
    <t>SalesMastery.csv: O1_P1_Number, O2_P1_Number</t>
  </si>
  <si>
    <t>SalesMastery.csv row 3667, O1_P1_Number: 314.966.8167 x1104 || SalesMastery.csv row 3667, O2_P1_Number: 314.966.8167 X1113</t>
  </si>
  <si>
    <t>Separate base number and extension; preserve the original display value.</t>
  </si>
  <si>
    <t>Preserve exact source error message.</t>
  </si>
  <si>
    <t>Safe after extension pattern approval.</t>
  </si>
  <si>
    <t>p1_name</t>
  </si>
  <si>
    <t>processed_at</t>
  </si>
  <si>
    <t>2026-08-05T04:29:40.745976+00:00 | 2026-08-05T04:29:44.209448+00:00 | 2026-08-05T04:29:48.065640+00:00</t>
  </si>
  <si>
    <t>source_record.processed_at</t>
  </si>
  <si>
    <t>Parse ISO datetime while preserving raw.</t>
  </si>
  <si>
    <t>p2_name</t>
  </si>
  <si>
    <t>st_matched</t>
  </si>
  <si>
    <t>yes | no</t>
  </si>
  <si>
    <t>source_record.skip_trace_matched_flag</t>
  </si>
  <si>
    <t>boolean</t>
  </si>
  <si>
    <t>Map yes/no to boolean; preserve raw.</t>
  </si>
  <si>
    <t>p3_name</t>
  </si>
  <si>
    <t>Skip-trace match status metadata.</t>
  </si>
  <si>
    <t>datetime</t>
  </si>
  <si>
    <t>owner_1_full_name</t>
  </si>
  <si>
    <t>st_persons_found</t>
  </si>
  <si>
    <t>1 | 3 | 0</t>
  </si>
  <si>
    <t>source_record.skip_trace_person_count</t>
  </si>
  <si>
    <t>Skip-trace result count.</t>
  </si>
  <si>
    <t>owner_2_full_name</t>
  </si>
  <si>
    <t>Derrick A Roberts | Tony Roberts Homes | Melinda A House</t>
  </si>
  <si>
    <t>contact.display_name_raw</t>
  </si>
  <si>
    <t>O10_Name</t>
  </si>
  <si>
    <t>contact</t>
  </si>
  <si>
    <t>Unpivot person slot p1; preserve raw; classify person/company only after approval.</t>
  </si>
  <si>
    <t>Repeated skip-trace person-name slot.</t>
  </si>
  <si>
    <t>A company may appear in this nominal person field; classification candidates require review.</t>
  </si>
  <si>
    <t>O11_Name</t>
  </si>
  <si>
    <t>1987-07-09T00:00:00.000Z | 1966-02-01T00:00:00.000Z | 1935-10-03T00:00:00.000Z</t>
  </si>
  <si>
    <t>contact.birth_date_raw</t>
  </si>
  <si>
    <t>Unpivot person slot p1; parse as date only after confirming semantics; preserve raw.</t>
  </si>
  <si>
    <t>O1_Name</t>
  </si>
  <si>
    <t>medium</t>
  </si>
  <si>
    <t>Values are ISO dates even though the header says age.</t>
  </si>
  <si>
    <t>Confirm that this is date of birth, whether it may be retained, and whether Praxis needs it.</t>
  </si>
  <si>
    <t>p1_phone1</t>
  </si>
  <si>
    <t>O2_Name</t>
  </si>
  <si>
    <t>2536910067 | 5802308231 | 5126997581</t>
  </si>
  <si>
    <t>contact_method.phone_raw</t>
  </si>
  <si>
    <t>Unpivot p1 phone slot; extract extension; normalize to digits/E.164 only after approval; preserve raw.</t>
  </si>
  <si>
    <t>Repeated contact phone slot.</t>
  </si>
  <si>
    <t>O3_Name</t>
  </si>
  <si>
    <t>p1_phone1_type</t>
  </si>
  <si>
    <t>Mobile | Land Line</t>
  </si>
  <si>
    <t>contact_method.phone_type_raw</t>
  </si>
  <si>
    <t>O4_Name</t>
  </si>
  <si>
    <t>Attach to the corresponding p1 phone occurrence; map vocabulary after approval.</t>
  </si>
  <si>
    <t>Phone-type companion field.</t>
  </si>
  <si>
    <t>O5_Name</t>
  </si>
  <si>
    <t>p1_phone1_tcpa</t>
  </si>
  <si>
    <t>FALSE | TRUE</t>
  </si>
  <si>
    <t>contact_method.tcpa_flag_raw</t>
  </si>
  <si>
    <t>O6_Name</t>
  </si>
  <si>
    <t>Attach to the corresponding p1 phone occurrence; preserve boolean source value.</t>
  </si>
  <si>
    <t>TCPA companion flag for a phone value.</t>
  </si>
  <si>
    <t>Confirm operational interpretation and legal/compliance handling.</t>
  </si>
  <si>
    <t>O7_Name</t>
  </si>
  <si>
    <t>p1_phone2</t>
  </si>
  <si>
    <t>4059248231 | 5122664588 | 9037144130</t>
  </si>
  <si>
    <t>O8_Name</t>
  </si>
  <si>
    <t>p1_phone2_type</t>
  </si>
  <si>
    <t>O9_Name</t>
  </si>
  <si>
    <t>p1_phone2_tcpa</t>
  </si>
  <si>
    <t>p1_phone3</t>
  </si>
  <si>
    <t>9728146340 | 5122660000 | 9037323958</t>
  </si>
  <si>
    <t>likely_owner_contact_1_full_name</t>
  </si>
  <si>
    <t>likely_owner_contact_2_full_name</t>
  </si>
  <si>
    <t>p1_phone3_type</t>
  </si>
  <si>
    <t>p1_phone3_tcpa</t>
  </si>
  <si>
    <t>p1_phone4</t>
  </si>
  <si>
    <t>5809248231 | 9493889054 | 9037324629</t>
  </si>
  <si>
    <t>Property Address Inventory and Cross-Source Overlap</t>
  </si>
  <si>
    <t>Exact keys are conservative. Candidate keys standardize selected directional/street-suffix tokens for review only and have not been approved or applied.</t>
  </si>
  <si>
    <t>O12_Name</t>
  </si>
  <si>
    <t>Per-source address profile</t>
  </si>
  <si>
    <t>p1_phone4_type</t>
  </si>
  <si>
    <t>Land Line | Mobile</t>
  </si>
  <si>
    <t>O13_Name</t>
  </si>
  <si>
    <t>Usable Address Rows</t>
  </si>
  <si>
    <t>Distinct Exact Keys</t>
  </si>
  <si>
    <t>Rows in Repeated Keys</t>
  </si>
  <si>
    <t>O14_Name</t>
  </si>
  <si>
    <t>Repeated Key Groups</t>
  </si>
  <si>
    <t>Distinct Candidate Keys</t>
  </si>
  <si>
    <t>p1_phone4_tcpa</t>
  </si>
  <si>
    <t>Candidate Reduction</t>
  </si>
  <si>
    <t>p1_phone5</t>
  </si>
  <si>
    <t>O20_Name</t>
  </si>
  <si>
    <t>7136816700 | 3603572841 | 3309659481</t>
  </si>
  <si>
    <t>p1_phone5_type</t>
  </si>
  <si>
    <t>p1_phone5_tcpa</t>
  </si>
  <si>
    <t>p1_email1</t>
  </si>
  <si>
    <t>craigaretha@gmail.com | tonykimroberts@hotmail.com | mindyhouse1@yahoo.com</t>
  </si>
  <si>
    <t>contact_method.email_raw</t>
  </si>
  <si>
    <t>Unpivot p1 email slot; trim and lowercase for match key only; preserve raw.</t>
  </si>
  <si>
    <t>Repeated contact email slot.</t>
  </si>
  <si>
    <t>Pairwise cross-source overlap</t>
  </si>
  <si>
    <t>Source A</t>
  </si>
  <si>
    <t>Source B</t>
  </si>
  <si>
    <t>Exact Shared Keys</t>
  </si>
  <si>
    <t>p1_email2</t>
  </si>
  <si>
    <t>Candidate Shared Keys</t>
  </si>
  <si>
    <t>derrick.roberts87@gmail.com | tony@tonyroberts.us | mhouse@se.edu</t>
  </si>
  <si>
    <t>Additional Candidate Estimate</t>
  </si>
  <si>
    <t>p1_email3</t>
  </si>
  <si>
    <t>derrickroberts87@gmail.com | lewis_hs@yahoo.com | michaelcastleman@gmail.com</t>
  </si>
  <si>
    <t>p1</t>
  </si>
  <si>
    <t>p2</t>
  </si>
  <si>
    <t>Sherry Anne Roberts | Carol Kay Castleman | Carolyn Janice Flippen</t>
  </si>
  <si>
    <t>Unpivot person slot p2; preserve raw; classify person/company only after approval.</t>
  </si>
  <si>
    <t>email/text</t>
  </si>
  <si>
    <t>p3</t>
  </si>
  <si>
    <t>1946-04-16T00:00:00.000Z | 1967-08-16T00:00:00.000Z | 1964-02-14T00:00:00.000Z</t>
  </si>
  <si>
    <t>recorded_owner_1</t>
  </si>
  <si>
    <t>Unpivot person slot p2; parse as date only after confirming semantics; preserve raw.</t>
  </si>
  <si>
    <t>recorded_owner_2</t>
  </si>
  <si>
    <t>p2_phone1</t>
  </si>
  <si>
    <t>2103173700 | 5128099784 | 9032727437</t>
  </si>
  <si>
    <t>Unpivot p2 phone slot; extract extension; normalize to digits/E.164 only after approval; preserve raw.</t>
  </si>
  <si>
    <t>O1</t>
  </si>
  <si>
    <t>p2_phone1_type</t>
  </si>
  <si>
    <t>O1.company</t>
  </si>
  <si>
    <t>Attach to the corresponding p2 phone occurrence; map vocabulary after approval.</t>
  </si>
  <si>
    <t>O10</t>
  </si>
  <si>
    <t>p2_phone1_tcpa</t>
  </si>
  <si>
    <t>Attach to the corresponding p2 phone occurrence; preserve boolean source value.</t>
  </si>
  <si>
    <t>O10.company</t>
  </si>
  <si>
    <t>p2_phone2</t>
  </si>
  <si>
    <t>O11</t>
  </si>
  <si>
    <t>2107643636 | 5126997581 | 9032497485</t>
  </si>
  <si>
    <t>O14</t>
  </si>
  <si>
    <t>p2_phone2_type</t>
  </si>
  <si>
    <t>O2</t>
  </si>
  <si>
    <t>O2.company</t>
  </si>
  <si>
    <t>p2_phone2_tcpa</t>
  </si>
  <si>
    <t>O3</t>
  </si>
  <si>
    <t>O3.company</t>
  </si>
  <si>
    <t>p2_phone3</t>
  </si>
  <si>
    <t>8306853834 | 5122664588 | 9037855850</t>
  </si>
  <si>
    <t>O4</t>
  </si>
  <si>
    <t>p2_phone3_type</t>
  </si>
  <si>
    <t>O4.company</t>
  </si>
  <si>
    <t>p2_phone3_tcpa</t>
  </si>
  <si>
    <t>O5</t>
  </si>
  <si>
    <t>O5.company</t>
  </si>
  <si>
    <t>p2_phone4</t>
  </si>
  <si>
    <t>8306853011 | 5128587492 | 9037858117</t>
  </si>
  <si>
    <t>O6</t>
  </si>
  <si>
    <t>p2_phone4_type</t>
  </si>
  <si>
    <t>O7</t>
  </si>
  <si>
    <t>p2_phone4_tcpa</t>
  </si>
  <si>
    <t>O7.company</t>
  </si>
  <si>
    <t>O8</t>
  </si>
  <si>
    <t>p2_phone5</t>
  </si>
  <si>
    <t>8308966019 | 7136229909 | 9037398925</t>
  </si>
  <si>
    <t>O9</t>
  </si>
  <si>
    <t>p2_phone5_type</t>
  </si>
  <si>
    <t>p2_phone5_tcpa</t>
  </si>
  <si>
    <t>Contact Occurrence and Source-Score Evidence</t>
  </si>
  <si>
    <t>Counts describe unpivoted source occurrences and exact normalized values only; no contacts were merged and no production scores were assigned.</t>
  </si>
  <si>
    <t>Contact occurrence inventory</t>
  </si>
  <si>
    <t>p2_email1</t>
  </si>
  <si>
    <t>Contact / Owner Slots</t>
  </si>
  <si>
    <t>Slots with Name</t>
  </si>
  <si>
    <t>Slots with Explicit Company</t>
  </si>
  <si>
    <t>Valid Phone Occurrences</t>
  </si>
  <si>
    <t>Valid Email Occurrences</t>
  </si>
  <si>
    <t>patrickinusa@hotmail.com | carolcastleman@icloud.com | flippencayton@hotmail.com</t>
  </si>
  <si>
    <t>p2_email2</t>
  </si>
  <si>
    <t>Unpivot p2 email slot; trim and lowercase for match key only; preserve raw.</t>
  </si>
  <si>
    <t>p2_email3</t>
  </si>
  <si>
    <t>carolcastleman@me.com | cflippen@chisumisd.org | j.dyck@delcotrailers.com</t>
  </si>
  <si>
    <t>p3_email1</t>
  </si>
  <si>
    <t>p3_email2</t>
  </si>
  <si>
    <t>Preliminary distinct-source score distributions</t>
  </si>
  <si>
    <t>Field Type</t>
  </si>
  <si>
    <t>Distribution: score → distinct values</t>
  </si>
  <si>
    <t>Distinct Values</t>
  </si>
  <si>
    <t>carolyn.flippen@yahoo.com | lenadyck@gmx.com | yehuda@critical-elements.com</t>
  </si>
  <si>
    <t>Method Note</t>
  </si>
  <si>
    <t>contact_name (provisional person classification)</t>
  </si>
  <si>
    <t>p3_email3</t>
  </si>
  <si>
    <t>{"1": 39684, "2": 1421, "3": 29}</t>
  </si>
  <si>
    <t>likely_owner_contact_1_email_address_1</t>
  </si>
  <si>
    <t>Company-like names excluded from name scoring estimate.</t>
  </si>
  <si>
    <t>company_name (explicit plus strong company-pattern candidates)</t>
  </si>
  <si>
    <t>Allene K Tenery | Juliet Breckenridge Pool | Kristy L Crawford</t>
  </si>
  <si>
    <t>likely_owner_contact_1_email_address_2</t>
  </si>
  <si>
    <t>{"1": 5840, "2": 765, "3": 5}</t>
  </si>
  <si>
    <t>Production scoring waits for classification approval.</t>
  </si>
  <si>
    <t>Unpivot person slot p3; preserve raw; classify person/company only after approval.</t>
  </si>
  <si>
    <t>phone (valid conservative NANP normalization)</t>
  </si>
  <si>
    <t>likely_owner_contact_1_email_address_3</t>
  </si>
  <si>
    <t>{"1": 76559, "2": 4485, "3": 540}</t>
  </si>
  <si>
    <t>Repeated values within one file count once.</t>
  </si>
  <si>
    <t>email (valid lowercase exact normalization)</t>
  </si>
  <si>
    <t>likely_owner_contact_2_email_address_1</t>
  </si>
  <si>
    <t>{"1": 56293, "2": 1845, "3": 140}</t>
  </si>
  <si>
    <t>1970-01-10T00:00:00.000Z | 1971-07-29T00:00:00.000Z | 1976-09-07T00:00:00.000Z</t>
  </si>
  <si>
    <t>likely_owner_contact_2_email_address_2</t>
  </si>
  <si>
    <t>Unpivot person slot p3; parse as date only after confirming semantics; preserve raw.</t>
  </si>
  <si>
    <t>likely_owner_contact_2_email_address_3</t>
  </si>
  <si>
    <t>p3_phone1</t>
  </si>
  <si>
    <t>5205292112 | 8319156533 | 9035175127</t>
  </si>
  <si>
    <t>likely_owner_contact_3_email_address_1</t>
  </si>
  <si>
    <t>Unpivot p3 phone slot; extract extension; normalize to digits/E.164 only after approval; preserve raw.</t>
  </si>
  <si>
    <t>likely_owner_contact_3_email_address_2</t>
  </si>
  <si>
    <t>p3_phone1_type</t>
  </si>
  <si>
    <t>likely_owner_contact_3_email_address_3</t>
  </si>
  <si>
    <t>Attach to the corresponding p3 phone occurrence; map vocabulary after approval.</t>
  </si>
  <si>
    <t>likely_owner_contact_4_email_address_1</t>
  </si>
  <si>
    <t>p3_phone1_tcpa</t>
  </si>
  <si>
    <t>likely_owner_contact_4_email_address_2</t>
  </si>
  <si>
    <t>Attach to the corresponding p3 phone occurrence; preserve boolean source value.</t>
  </si>
  <si>
    <t>likely_owner_contact_4_email_address_3</t>
  </si>
  <si>
    <t>likely_owner_contact_5_email_address_1</t>
  </si>
  <si>
    <t>p3_phone2</t>
  </si>
  <si>
    <t>8314021832 | 9039826598 | 2148501859</t>
  </si>
  <si>
    <t>likely_owner_contact_5_email_address_2</t>
  </si>
  <si>
    <t>likely_owner_contact_5_email_address_3</t>
  </si>
  <si>
    <t>p3_phone2_type</t>
  </si>
  <si>
    <t>O10_E1_Email</t>
  </si>
  <si>
    <t>O11_E1_Email</t>
  </si>
  <si>
    <t>O1_E1_Email</t>
  </si>
  <si>
    <t>p3_phone2_tcpa</t>
  </si>
  <si>
    <t>O1_E2_Email</t>
  </si>
  <si>
    <t>O1_E3_Email</t>
  </si>
  <si>
    <t>p3_phone3</t>
  </si>
  <si>
    <t>8315824119 | 9037840021 | 9037378684</t>
  </si>
  <si>
    <t>O1_E4_Email</t>
  </si>
  <si>
    <t>p3_phone3_type</t>
  </si>
  <si>
    <t>O1_E6_Email</t>
  </si>
  <si>
    <t>O1_E7_Email</t>
  </si>
  <si>
    <t>p3_phone3_tcpa</t>
  </si>
  <si>
    <t>O1_Personal_Email</t>
  </si>
  <si>
    <t>p3_phone4</t>
  </si>
  <si>
    <t>8316241032 | 9039826593 | 9037855930</t>
  </si>
  <si>
    <t>O2_E1_Email</t>
  </si>
  <si>
    <t>p3_phone4_type</t>
  </si>
  <si>
    <t>O2_E2_Email</t>
  </si>
  <si>
    <t>Proposed Canonical Data Model and Data Dictionary</t>
  </si>
  <si>
    <t>O2_E3_Email</t>
  </si>
  <si>
    <t>Minimum core: properties, contacts, and property-contact links. Contact methods and field-level provenance are recommended normalized child tables.</t>
  </si>
  <si>
    <t>p3_phone4_tcpa</t>
  </si>
  <si>
    <t>Proposed Table</t>
  </si>
  <si>
    <t>Field</t>
  </si>
  <si>
    <t>Data Type</t>
  </si>
  <si>
    <t>Description</t>
  </si>
  <si>
    <t>O2_E4_Email</t>
  </si>
  <si>
    <t>Requirement</t>
  </si>
  <si>
    <t>Notes / Guardrails</t>
  </si>
  <si>
    <t>properties.csv</t>
  </si>
  <si>
    <t>property_id</t>
  </si>
  <si>
    <t>O2_Personal_Email</t>
  </si>
  <si>
    <t>System-stable property identifier generated only after approved resolution.</t>
  </si>
  <si>
    <t>p3_phone5</t>
  </si>
  <si>
    <t>required</t>
  </si>
  <si>
    <t>Never use row_index as the ID.</t>
  </si>
  <si>
    <t>8313725564 | 9039827156 | 9037844482</t>
  </si>
  <si>
    <t>property_name</t>
  </si>
  <si>
    <t>O3_E1_Email</t>
  </si>
  <si>
    <t>Approved property/site name, if supported.</t>
  </si>
  <si>
    <t>optional</t>
  </si>
  <si>
    <t>Sales Business Name is not mapped here until its semantics are confirmed.</t>
  </si>
  <si>
    <t>O3_E2_Email</t>
  </si>
  <si>
    <t>address_street_1_raw</t>
  </si>
  <si>
    <t>Selected display street line with provenance.</t>
  </si>
  <si>
    <t>recommended</t>
  </si>
  <si>
    <t>p3_phone5_type</t>
  </si>
  <si>
    <t>All raw variants remain in provenance.</t>
  </si>
  <si>
    <t>address_street_2_raw</t>
  </si>
  <si>
    <t>O3_E3_Email</t>
  </si>
  <si>
    <t>Unit/suite/secondary line.</t>
  </si>
  <si>
    <t>Do not strip unit identifiers during matching.</t>
  </si>
  <si>
    <t>address_city_raw</t>
  </si>
  <si>
    <t>p3_phone5_tcpa</t>
  </si>
  <si>
    <t>Display city.</t>
  </si>
  <si>
    <t>O3_Personal_Email</t>
  </si>
  <si>
    <t>Preserve source form.</t>
  </si>
  <si>
    <t>address_state_raw</t>
  </si>
  <si>
    <t>Display state.</t>
  </si>
  <si>
    <t>Normalized code held separately or as governed display.</t>
  </si>
  <si>
    <t>O4_E1_Email</t>
  </si>
  <si>
    <t>address_zip_raw</t>
  </si>
  <si>
    <t>Display ZIP/ZIP+4.</t>
  </si>
  <si>
    <t>aatenery@centurytel.net | breckenpool@gmail.com | kristybeland@yahoo.com</t>
  </si>
  <si>
    <t>Text preserves leading zeros.</t>
  </si>
  <si>
    <t>O4_E2_Email</t>
  </si>
  <si>
    <t>Unpivot p3 email slot; trim and lowercase for match key only; preserve raw.</t>
  </si>
  <si>
    <t>address_full_normalized</t>
  </si>
  <si>
    <t>Approved standardized address used for display/matching.</t>
  </si>
  <si>
    <t>Generated deterministically; raw values retained.</t>
  </si>
  <si>
    <t>latitude</t>
  </si>
  <si>
    <t>O4_E3_Email</t>
  </si>
  <si>
    <t>t.tenery@firstamericanstorage.us | julietpool@yahoo.com | kristycrawford@hotmail.com</t>
  </si>
  <si>
    <t>Selected geocode latitude with provenance.</t>
  </si>
  <si>
    <t>Conflicts retained.</t>
  </si>
  <si>
    <t>longitude</t>
  </si>
  <si>
    <t>O4_Personal_Email</t>
  </si>
  <si>
    <t>Selected geocode longitude with provenance.</t>
  </si>
  <si>
    <t>julietbreckenridge@yahoo.com | ccragweed32@yahoo.com | jordan.harper@hotmail.com</t>
  </si>
  <si>
    <t>O5_E1_Email</t>
  </si>
  <si>
    <t>Approved geocode confidence category.</t>
  </si>
  <si>
    <t>Vendor vocabularies must be mapped.</t>
  </si>
  <si>
    <t>property_type</t>
  </si>
  <si>
    <t>O5_E2_Email</t>
  </si>
  <si>
    <t>Approved property-type vocabulary value(s).</t>
  </si>
  <si>
    <t>Conflicts retained in provenance.</t>
  </si>
  <si>
    <t>building_type</t>
  </si>
  <si>
    <t>O5_E3_Email</t>
  </si>
  <si>
    <t>Approved building-type vocabulary value(s).</t>
  </si>
  <si>
    <t>Keep separate from property_type.</t>
  </si>
  <si>
    <t>year_built</t>
  </si>
  <si>
    <t>O6_E1_Email</t>
  </si>
  <si>
    <t>Construction year.</t>
  </si>
  <si>
    <t>Validate range.</t>
  </si>
  <si>
    <t>building_area_sqft</t>
  </si>
  <si>
    <t>Building or living area.</t>
  </si>
  <si>
    <t>O7_E1_Email</t>
  </si>
  <si>
    <t>Source meaning must distinguish building versus living area.</t>
  </si>
  <si>
    <t>stories</t>
  </si>
  <si>
    <t>decimal/text</t>
  </si>
  <si>
    <t>Number/description of stories.</t>
  </si>
  <si>
    <t>Parse text only after rule approval.</t>
  </si>
  <si>
    <t>O7_E2_Email</t>
  </si>
  <si>
    <t>building_quality</t>
  </si>
  <si>
    <t>Vendor building-quality grade.</t>
  </si>
  <si>
    <t>Retain vendor semantics.</t>
  </si>
  <si>
    <t>O7_E3_Email</t>
  </si>
  <si>
    <t>roof_types</t>
  </si>
  <si>
    <t>text/list</t>
  </si>
  <si>
    <t>Ordered approved roof shape/type values.</t>
  </si>
  <si>
    <t>Unknown handling is roof-specific.</t>
  </si>
  <si>
    <t>roof_cover_materials</t>
  </si>
  <si>
    <t>O8_E1_Email</t>
  </si>
  <si>
    <t>Ordered roof-cover material values.</t>
  </si>
  <si>
    <t>Do not conflate with roof type/shape.</t>
  </si>
  <si>
    <t>roof_size_squares</t>
  </si>
  <si>
    <t>Roof size in roofing squares.</t>
  </si>
  <si>
    <t>O9_E1_Email</t>
  </si>
  <si>
    <t>Confirm unit.</t>
  </si>
  <si>
    <t>storm_summary_fields</t>
  </si>
  <si>
    <t>typed fields</t>
  </si>
  <si>
    <t>Largest/recent hail and event summary metrics.</t>
  </si>
  <si>
    <t>Retain vendor/source context.</t>
  </si>
  <si>
    <t>source_record_count</t>
  </si>
  <si>
    <t>Count of supporting source records.</t>
  </si>
  <si>
    <t>audit</t>
  </si>
  <si>
    <t>Derived after resolution.</t>
  </si>
  <si>
    <t>created_rule_version</t>
  </si>
  <si>
    <t>Version of matching/transformation rules.</t>
  </si>
  <si>
    <t>Required for reproducibility.</t>
  </si>
  <si>
    <t>contacts.csv</t>
  </si>
  <si>
    <t>contact_id</t>
  </si>
  <si>
    <t>System-stable contact identifier after approved resolution.</t>
  </si>
  <si>
    <t>One entity only; not duplicated per property.</t>
  </si>
  <si>
    <t>likely_owner_1</t>
  </si>
  <si>
    <t>contact_type</t>
  </si>
  <si>
    <t>enum</t>
  </si>
  <si>
    <t>person, company, or unknown.</t>
  </si>
  <si>
    <t>Uncertain classifications remain unknown.</t>
  </si>
  <si>
    <t>likely_owner_2</t>
  </si>
  <si>
    <t>display_name</t>
  </si>
  <si>
    <t>Selected display name with provenance.</t>
  </si>
  <si>
    <t>No arbitrary winner when conflicting.</t>
  </si>
  <si>
    <t>first_name</t>
  </si>
  <si>
    <t>likely_owner_3</t>
  </si>
  <si>
    <t>Parsed person first name.</t>
  </si>
  <si>
    <t>Parse only after name-order rules are approved.</t>
  </si>
  <si>
    <t>middle_name</t>
  </si>
  <si>
    <t>Parsed person middle name/initial.</t>
  </si>
  <si>
    <t>likely_owner_4</t>
  </si>
  <si>
    <t>Preserve display_name_raw.</t>
  </si>
  <si>
    <t>last_name</t>
  </si>
  <si>
    <t>likely_owner_5</t>
  </si>
  <si>
    <t>Parsed person last name.</t>
  </si>
  <si>
    <t>Do not parse companies as people.</t>
  </si>
  <si>
    <t>suffix</t>
  </si>
  <si>
    <t>Person suffix.</t>
  </si>
  <si>
    <t>Controlled parsing.</t>
  </si>
  <si>
    <t>company_name</t>
  </si>
  <si>
    <t>Primary/associated company display name.</t>
  </si>
  <si>
    <t>Multiple company associations may require a separate link.</t>
  </si>
  <si>
    <t>job_title</t>
  </si>
  <si>
    <t>Contact title if present.</t>
  </si>
  <si>
    <t>No clear source column currently identified.</t>
  </si>
  <si>
    <t>contact_address_fields</t>
  </si>
  <si>
    <t>Mailing/contact address components.</t>
  </si>
  <si>
    <t>O12</t>
  </si>
  <si>
    <t>No dedicated contact-address fields were found in these four sources.</t>
  </si>
  <si>
    <t>name_source_score</t>
  </si>
  <si>
    <t>Severe | High | Low</t>
  </si>
  <si>
    <t>Distinct source-file count for the exact approved normalized name.</t>
  </si>
  <si>
    <t>scored</t>
  </si>
  <si>
    <t>O13</t>
  </si>
  <si>
    <t>Do not score placeholders or uncertain equivalences.</t>
  </si>
  <si>
    <t>company_source_score</t>
  </si>
  <si>
    <t>Distinct source-file count for the exact approved normalized company name.</t>
  </si>
  <si>
    <t>Company classification must be approved first.</t>
  </si>
  <si>
    <t>source_files</t>
  </si>
  <si>
    <t>Distinct contributing source files.</t>
  </si>
  <si>
    <t>Prefer normalized provenance table in database.</t>
  </si>
  <si>
    <t>O15</t>
  </si>
  <si>
    <t>resolution_status</t>
  </si>
  <si>
    <t>resolved, probable_review, ambiguous_separate, confirmed_nonmatch.</t>
  </si>
  <si>
    <t>Required to explain unresolved duplicates.</t>
  </si>
  <si>
    <t>O16</t>
  </si>
  <si>
    <t>rule_version</t>
  </si>
  <si>
    <t>Entity-resolution rule version.</t>
  </si>
  <si>
    <t>O17</t>
  </si>
  <si>
    <t>property_contact_links.csv</t>
  </si>
  <si>
    <t>property_contact_link_id</t>
  </si>
  <si>
    <t>Stable relationship identifier.</t>
  </si>
  <si>
    <t>Generated deterministically after entities exist.</t>
  </si>
  <si>
    <t>O18</t>
  </si>
  <si>
    <t>text/FK</t>
  </si>
  <si>
    <t>References properties.property_id.</t>
  </si>
  <si>
    <t>No orphan links.</t>
  </si>
  <si>
    <t>O19</t>
  </si>
  <si>
    <t>References contacts.contact_id.</t>
  </si>
  <si>
    <t>Same contact may link to many properties.</t>
  </si>
  <si>
    <t>relationship_type</t>
  </si>
  <si>
    <t>owner, likely_owner, previous_owner, manager, facilities, tenant, roofing, skip_trace_candidate, unknown.</t>
  </si>
  <si>
    <t>Map raw roles through approved vocabulary.</t>
  </si>
  <si>
    <t>relationship_type_raw</t>
  </si>
  <si>
    <t>Original source role/slot semantics.</t>
  </si>
  <si>
    <t>Preserve raw.</t>
  </si>
  <si>
    <t>O20</t>
  </si>
  <si>
    <t>is_primary</t>
  </si>
  <si>
    <t>Primary contact for this property/role when supported.</t>
  </si>
  <si>
    <t>Do not infer solely from slot order without approval.</t>
  </si>
  <si>
    <t>confirmed_owner_flag</t>
  </si>
  <si>
    <t>Source-confirmed owner evidence.</t>
  </si>
  <si>
    <t>Retain source attribution.</t>
  </si>
  <si>
    <t>previous_owner_flag</t>
  </si>
  <si>
    <t>Source previous-owner evidence.</t>
  </si>
  <si>
    <t>Potentially excludes from current-owner targeting but not from history.</t>
  </si>
  <si>
    <t>relationship_confidence</t>
  </si>
  <si>
    <t>Approved confidence for the link.</t>
  </si>
  <si>
    <t>Do not mix vendor confidence with source-file scoring.</t>
  </si>
  <si>
    <t>source_file</t>
  </si>
  <si>
    <t>Source file supporting the relationship.</t>
  </si>
  <si>
    <t>Multiple rows per link may be preferable in provenance.</t>
  </si>
  <si>
    <t>source_row_id</t>
  </si>
  <si>
    <t>Stable source record identifier.</t>
  </si>
  <si>
    <t>Format proposed as &lt;file&gt;:R&lt;record-number&gt;.</t>
  </si>
  <si>
    <t>source_slot</t>
  </si>
  <si>
    <t>Repeated-field slot such as O2 or p1.</t>
  </si>
  <si>
    <t>Required for exact traceability.</t>
  </si>
  <si>
    <t>contact_methods.csv (recommended)</t>
  </si>
  <si>
    <t>contact_method_id</t>
  </si>
  <si>
    <t>Stable identifier for one phone or email value.</t>
  </si>
  <si>
    <t>Recommended fourth business table.</t>
  </si>
  <si>
    <t>Owning contact.</t>
  </si>
  <si>
    <t>Allows any number of methods without fixed-width columns.</t>
  </si>
  <si>
    <t>method_type</t>
  </si>
  <si>
    <t>phone or email.</t>
  </si>
  <si>
    <t>One method per row.</t>
  </si>
  <si>
    <t>raw_value</t>
  </si>
  <si>
    <t>Representative raw display value.</t>
  </si>
  <si>
    <t>All raw variants also remain in provenance.</t>
  </si>
  <si>
    <t>normalized_value</t>
  </si>
  <si>
    <t>Approved exact match/scoring key.</t>
  </si>
  <si>
    <t>No fuzzy scoring equivalence without approval.</t>
  </si>
  <si>
    <t>phone_type</t>
  </si>
  <si>
    <t>Mobile, landline, etc.</t>
  </si>
  <si>
    <t>extension</t>
  </si>
  <si>
    <t>Phone extension.</t>
  </si>
  <si>
    <t>Stored separately.</t>
  </si>
  <si>
    <t>validity_status</t>
  </si>
  <si>
    <t>valid, invalid, placeholder, review.</t>
  </si>
  <si>
    <t>Invalid values are retained but unscored.</t>
  </si>
  <si>
    <t>source_score</t>
  </si>
  <si>
    <t>O1_E5_Email</t>
  </si>
  <si>
    <t>Number of distinct source CSVs with exact normalized value.</t>
  </si>
  <si>
    <t>Repeated rows within one file count once.</t>
  </si>
  <si>
    <t>Contributing source files.</t>
  </si>
  <si>
    <t>Prefer provenance table for normalized DB.</t>
  </si>
  <si>
    <t>sort_order</t>
  </si>
  <si>
    <t>Highest score first, then approved type/source/alphanumeric tie-breakers.</t>
  </si>
  <si>
    <t>No lower-scoring valid value is removed.</t>
  </si>
  <si>
    <t>field_value_provenance.csv (recommended)</t>
  </si>
  <si>
    <t>provenance_id</t>
  </si>
  <si>
    <t>Stable audit-row ID.</t>
  </si>
  <si>
    <t>One row per source value occurrence.</t>
  </si>
  <si>
    <t>entity_type</t>
  </si>
  <si>
    <t>property, contact, contact_method, relationship.</t>
  </si>
  <si>
    <t>entity_id</t>
  </si>
  <si>
    <t>Resolved target entity ID.</t>
  </si>
  <si>
    <t>Assigned after approved resolution.</t>
  </si>
  <si>
    <t>canonical_field</t>
  </si>
  <si>
    <t>Canonical field receiving/representing the value.</t>
  </si>
  <si>
    <t>Street</t>
  </si>
  <si>
    <t>Original CSV filename.</t>
  </si>
  <si>
    <t>Stable source record ID.</t>
  </si>
  <si>
    <t>City</t>
  </si>
  <si>
    <t>source_column</t>
  </si>
  <si>
    <t>O1_P1_Number</t>
  </si>
  <si>
    <t>Original column name.</t>
  </si>
  <si>
    <t>State</t>
  </si>
  <si>
    <t>Repeated contact slot where relevant.</t>
  </si>
  <si>
    <t>O1_P2_Number</t>
  </si>
  <si>
    <t>Untouched source value.</t>
  </si>
  <si>
    <t>Silently dropped values must remain zero.</t>
  </si>
  <si>
    <t>O1_Personal_Phone</t>
  </si>
  <si>
    <t>Zip</t>
  </si>
  <si>
    <t>Deterministically normalized value, if approved.</t>
  </si>
  <si>
    <t>O2_P1_Number</t>
  </si>
  <si>
    <t>transformation_rule_id</t>
  </si>
  <si>
    <t>Versioned rule applied.</t>
  </si>
  <si>
    <t>Business Name</t>
  </si>
  <si>
    <t>National Oilwell Varco (NOV) | Century Products Properties Llc | Dorada Poultry Llc</t>
  </si>
  <si>
    <t>O2_P2_Number</t>
  </si>
  <si>
    <t>selection_status</t>
  </si>
  <si>
    <t>relationship.business_name_raw</t>
  </si>
  <si>
    <t>display, alternate, conflict, invalid, placeholder, unused_metadata.</t>
  </si>
  <si>
    <t>relationship</t>
  </si>
  <si>
    <t>Preserve raw; normalize/parse only through approved field rule.</t>
  </si>
  <si>
    <t>Explains every value's outcome.</t>
  </si>
  <si>
    <t>low</t>
  </si>
  <si>
    <t>May be occupant, tenant, owner company, or property name.</t>
  </si>
  <si>
    <t>Confirm whether this is a property name, occupant, tenant, or owner company.</t>
  </si>
  <si>
    <t>O2_P3_Number</t>
  </si>
  <si>
    <t>Building Type</t>
  </si>
  <si>
    <t>unknown | residential | commercial</t>
  </si>
  <si>
    <t>property.building_type_raw</t>
  </si>
  <si>
    <t>O2_P4_Number</t>
  </si>
  <si>
    <t>Building classification; controlled vocabulary needed.</t>
  </si>
  <si>
    <t>O2_P5_Number</t>
  </si>
  <si>
    <t>Property Type</t>
  </si>
  <si>
    <t>Public &amp; Semi-Public | Multifamily | Industrial</t>
  </si>
  <si>
    <t>property.property_type_raw</t>
  </si>
  <si>
    <t>Property classification; controlled vocabulary needed.</t>
  </si>
  <si>
    <t>O2_Personal_Phone</t>
  </si>
  <si>
    <t>Year Built</t>
  </si>
  <si>
    <t>1968 | 2021 | 1994</t>
  </si>
  <si>
    <t>property.year_built</t>
  </si>
  <si>
    <t>O3_P1_Number</t>
  </si>
  <si>
    <t>Property construction year.</t>
  </si>
  <si>
    <t>Roof Types</t>
  </si>
  <si>
    <t>unknown | unknown | metal | unknown | flat</t>
  </si>
  <si>
    <t>O3_P2_Number</t>
  </si>
  <si>
    <t>property.roof_types_raw</t>
  </si>
  <si>
    <t>Roof classification; parse multi-values after vocabulary approval.</t>
  </si>
  <si>
    <t>O3_P4_Number</t>
  </si>
  <si>
    <t>Roof Size (Sq)</t>
  </si>
  <si>
    <t>939.63 | 212036 | 164508</t>
  </si>
  <si>
    <t>property.roof_size_squares</t>
  </si>
  <si>
    <t>O3_P5_Number</t>
  </si>
  <si>
    <t>Roof size in roofing squares; confirm unit.</t>
  </si>
  <si>
    <t>Hail Date</t>
  </si>
  <si>
    <t>O4_P1_Number</t>
  </si>
  <si>
    <t>2026-07-08 | 2026-07-02 | 2026-07-07</t>
  </si>
  <si>
    <t>property.storm_summary.hail_date</t>
  </si>
  <si>
    <t>Hail date semantics may differ from most recent/largest hail dates.</t>
  </si>
  <si>
    <t>Hail Size (in)</t>
  </si>
  <si>
    <t>O4_Personal_Phone</t>
  </si>
  <si>
    <t>1.5 | 1.25 | 2</t>
  </si>
  <si>
    <t>property.storm_summary.hail_size_inches</t>
  </si>
  <si>
    <t>Hail size in inches; confirm relation to Hail Date.</t>
  </si>
  <si>
    <t>O5_P1_Number</t>
  </si>
  <si>
    <t>Additional Storm Dates</t>
  </si>
  <si>
    <t>2026-04-26 | 2026-04-27 | 2025-09-03</t>
  </si>
  <si>
    <t>property.storm_summary.additional_dates_raw</t>
  </si>
  <si>
    <t>Potential multi-date field requiring parsing.</t>
  </si>
  <si>
    <t>O5_P2_Number</t>
  </si>
  <si>
    <t>Building Area (sqft)</t>
  </si>
  <si>
    <t>93963 | 21203600 | 16450800</t>
  </si>
  <si>
    <t>property.building_area_sqft</t>
  </si>
  <si>
    <t>O6_P1_Number</t>
  </si>
  <si>
    <t>Property building area.</t>
  </si>
  <si>
    <t>International Rescue Committee | Farmington Mall | Crown Valley CoPack</t>
  </si>
  <si>
    <t>O6_P2_Number</t>
  </si>
  <si>
    <t>property.description_raw</t>
  </si>
  <si>
    <t>Free-text property description.</t>
  </si>
  <si>
    <t>O7_P1_Number</t>
  </si>
  <si>
    <t>Notes</t>
  </si>
  <si>
    <t>OC is a black hole of corporate entities. | [Merged duplicate-row alternatives — Hail Date: 2026-04-17; Total Touches: 0] | [Merged duplicate-row alternatives — Total Touches: 0]</t>
  </si>
  <si>
    <t>source_record.notes_raw</t>
  </si>
  <si>
    <t>O8_P1_Number</t>
  </si>
  <si>
    <t>Free-text notes may contain multiple entity types.</t>
  </si>
  <si>
    <t>Owner Occupied</t>
  </si>
  <si>
    <t>No | Yes</t>
  </si>
  <si>
    <t>property.owner_occupied_flag_raw</t>
  </si>
  <si>
    <t>Ownership occupancy flag.</t>
  </si>
  <si>
    <t>Proposed Normalization and Parsing Rules</t>
  </si>
  <si>
    <t>Rules are proposals only. Estimates use conservative keys; production transformations wait for approval.</t>
  </si>
  <si>
    <t>Owner In State</t>
  </si>
  <si>
    <t>Rule ID</t>
  </si>
  <si>
    <t>property.owner_in_state_flag_raw</t>
  </si>
  <si>
    <t>Domain</t>
  </si>
  <si>
    <t>Proposed Deterministic Rule</t>
  </si>
  <si>
    <t>Status</t>
  </si>
  <si>
    <t>Approval Needed</t>
  </si>
  <si>
    <t>Owner location flag; no address is supplied.</t>
  </si>
  <si>
    <t>N001</t>
  </si>
  <si>
    <t>All fields</t>
  </si>
  <si>
    <t>Preserve raw value, source file, source row, source column, and source slot before any normalization.</t>
  </si>
  <si>
    <t>Timothy L Clifton | Jay Paul Fagan | Siobhan Reilly</t>
  </si>
  <si>
    <t>Yes</t>
  </si>
  <si>
    <t>Schema approval</t>
  </si>
  <si>
    <t>Unpivot owner slot; preserve raw; classify person/company after approval.</t>
  </si>
  <si>
    <t>N002</t>
  </si>
  <si>
    <t>Repeated SalesMastery owner slot O1.</t>
  </si>
  <si>
    <t>Model blank, explicit Unknown, other placeholder, invalid, and present as distinct states; never conflate them in provenance.</t>
  </si>
  <si>
    <t>Confirm placeholder token list</t>
  </si>
  <si>
    <t>O1_Role</t>
  </si>
  <si>
    <t>other | unknown | owner | owner</t>
  </si>
  <si>
    <t>property_contact_link.relationship_type_raw</t>
  </si>
  <si>
    <t>N003</t>
  </si>
  <si>
    <t>Text</t>
  </si>
  <si>
    <t>Unpivot owner slot and attach raw relationship role.</t>
  </si>
  <si>
    <t>For match keys only: Unicode NFKC, trim, collapse internal whitespace, and case-fold; preserve punctuation-sensitive raw/display values.</t>
  </si>
  <si>
    <t>For estimates only</t>
  </si>
  <si>
    <t>Approve production normalization</t>
  </si>
  <si>
    <t>O1_Company</t>
  </si>
  <si>
    <t>N004</t>
  </si>
  <si>
    <t>Century Products | Harvest Christian Centre | chase properties</t>
  </si>
  <si>
    <t>Email</t>
  </si>
  <si>
    <t>contact.company_name_raw</t>
  </si>
  <si>
    <t>Trim and lowercase exact syntactically valid address; do not remove dots, plus-tags, or alter domains; invalid values remain unscored.</t>
  </si>
  <si>
    <t>Proposed</t>
  </si>
  <si>
    <t>company</t>
  </si>
  <si>
    <t>Approve</t>
  </si>
  <si>
    <t>Unpivot owner slot; preserve raw company/employer value.</t>
  </si>
  <si>
    <t>N005</t>
  </si>
  <si>
    <t>Phone</t>
  </si>
  <si>
    <t>Extract digits and extension; for valid NANP numbers, store +1XXXXXXXXXX and separate extension; do not assume non-NANP values are invalid without country review.</t>
  </si>
  <si>
    <t>Confirm NANP scope and extension equivalence</t>
  </si>
  <si>
    <t>O1_Confidence</t>
  </si>
  <si>
    <t>High | Unverified | unverified</t>
  </si>
  <si>
    <t>property_contact_link.source_confidence_raw</t>
  </si>
  <si>
    <t>N006</t>
  </si>
  <si>
    <t>Names</t>
  </si>
  <si>
    <t>Create a conservative case/punctuation/whitespace match key; retain original order; parse first/middle/last only after classification and name-order review.</t>
  </si>
  <si>
    <t>Preserve vendor confidence; do not equate with source-file score.</t>
  </si>
  <si>
    <t>Approve parsing and suffix vocabulary</t>
  </si>
  <si>
    <t>N007</t>
  </si>
  <si>
    <t>Companies</t>
  </si>
  <si>
    <t>Create conservative case/punctuation/whitespace match key; do not remove legal suffixes for scoring; retain separately proposed relaxed key only for review candidates.</t>
  </si>
  <si>
    <t>O1_Confirmed_Owner</t>
  </si>
  <si>
    <t>Approve business indicator and suffix vocabularies</t>
  </si>
  <si>
    <t>property_contact_link.confirmed_owner_flag_raw</t>
  </si>
  <si>
    <t>N008</t>
  </si>
  <si>
    <t>Map source flag after validating value vocabulary.</t>
  </si>
  <si>
    <t>Exact key uses components with case/punctuation/whitespace normalization; a second candidate key may standardize directional/street suffix tokens and ZIP+4 to ZIP5 for review.</t>
  </si>
  <si>
    <t>Estimate only</t>
  </si>
  <si>
    <t>Approve address vocabulary and unit handling</t>
  </si>
  <si>
    <t>N009</t>
  </si>
  <si>
    <t>Roof</t>
  </si>
  <si>
    <t>Split only reviewed delimiters; if Unknown co-occurs with valid approved roof tokens, exclude Unknown from normalized roof list but preserve raw and missingness evidence.</t>
  </si>
  <si>
    <t>O1_Is_Previous_Owner</t>
  </si>
  <si>
    <t>Approve roof controlled vocabulary and special Unknown rule</t>
  </si>
  <si>
    <t>property_contact_link.previous_owner_flag_raw</t>
  </si>
  <si>
    <t>Low after approval</t>
  </si>
  <si>
    <t>N010</t>
  </si>
  <si>
    <t>IDs/ZIP</t>
  </si>
  <si>
    <t>Store source IDs, APNs, ZIPs, phones, and row IDs as text; never coerce away leading zeros.</t>
  </si>
  <si>
    <t>Approve schema</t>
  </si>
  <si>
    <t>N011</t>
  </si>
  <si>
    <t>O1_Sources</t>
  </si>
  <si>
    <t>Multi-values</t>
  </si>
  <si>
    <t>batch_data | reonomy | My Targets CSV Upload</t>
  </si>
  <si>
    <t>Unpivot repeated columns and split multi-value cells only with field-specific delimiters; preserve token order and raw cell.</t>
  </si>
  <si>
    <t>provenance.source_list_raw</t>
  </si>
  <si>
    <t>Approve per-field parsing rules</t>
  </si>
  <si>
    <t>Parse vendor source list only after delimiter review; retain verbatim.</t>
  </si>
  <si>
    <t>O10_P1_Type</t>
  </si>
  <si>
    <t>(785) 448-4603 | (417) 732-5803 | (573) 568-2185</t>
  </si>
  <si>
    <t>O10_P4_Rating</t>
  </si>
  <si>
    <t>Unpivot personal phone; normalize only after approval.</t>
  </si>
  <si>
    <t>O10_P4_Type</t>
  </si>
  <si>
    <t>marketing@ymcorp.com | carredondo@thecapitalrealty.com | jfurnell@bristol-manor.com</t>
  </si>
  <si>
    <t>O10_Role</t>
  </si>
  <si>
    <t>Unpivot personal email; lowercase for exact match key only.</t>
  </si>
  <si>
    <t>O11_P1_Rating</t>
  </si>
  <si>
    <t>(806) 220-5117 | (502) 216-9225 | +1(405)612-0458</t>
  </si>
  <si>
    <t>O11_Role</t>
  </si>
  <si>
    <t>Unpivot O1 phone 1 and attach its companion metadata; preserve raw.</t>
  </si>
  <si>
    <t>Repeated owner phone field group.</t>
  </si>
  <si>
    <t>O11_Sources</t>
  </si>
  <si>
    <t>O1_P1_Type</t>
  </si>
  <si>
    <t>mobile | mobile | unknown | landline</t>
  </si>
  <si>
    <t>O12_Role</t>
  </si>
  <si>
    <t>O1_P1_Rating</t>
  </si>
  <si>
    <t>unsure | unrated | good</t>
  </si>
  <si>
    <t>contact_method.source_rating_raw</t>
  </si>
  <si>
    <t>O1_P1_Source</t>
  </si>
  <si>
    <t>batch_data | reonomy | batch_data | reonomy</t>
  </si>
  <si>
    <t>contact_method.source_raw</t>
  </si>
  <si>
    <t>(806) 273-5232 | +1 (918) 793-3382 | (405) 371-3052</t>
  </si>
  <si>
    <t>Unpivot O1 phone 2 and attach its companion metadata; preserve raw.</t>
  </si>
  <si>
    <t>O1_P2_Rating</t>
  </si>
  <si>
    <t>O1_P2_Type</t>
  </si>
  <si>
    <t>landline | unknown | mobile</t>
  </si>
  <si>
    <t>O1_P2_Source</t>
  </si>
  <si>
    <t>unrated | unsure | bad</t>
  </si>
  <si>
    <t>O1_P3_Rating</t>
  </si>
  <si>
    <t>O1_P3_Source</t>
  </si>
  <si>
    <t>batch_data | reonomy | unreal</t>
  </si>
  <si>
    <t>O1_P3_Type</t>
  </si>
  <si>
    <t>O1_P3_Number</t>
  </si>
  <si>
    <t>(806) 857-2414 | (405) 532-4325 | (405) 282-6285</t>
  </si>
  <si>
    <t>Unpivot O1 phone 3 and attach its companion metadata; preserve raw.</t>
  </si>
  <si>
    <t>O1_P4_Rating</t>
  </si>
  <si>
    <t>Proposed Entity-Resolution and Deduplication Rules</t>
  </si>
  <si>
    <t>O1_P4_Source</t>
  </si>
  <si>
    <t>landline | mobile | unknown</t>
  </si>
  <si>
    <t>Exact identifiers lead; fuzzy/name-only evidence never causes an automatic merge. Counts are in Estimated Effect and Contact Evidence.</t>
  </si>
  <si>
    <t>Entity</t>
  </si>
  <si>
    <t>Match / Review Level</t>
  </si>
  <si>
    <t>O1_P4_Type</t>
  </si>
  <si>
    <t>Guardrails</t>
  </si>
  <si>
    <t>Proposed Action</t>
  </si>
  <si>
    <t>Property</t>
  </si>
  <si>
    <t>Exact/high automatic</t>
  </si>
  <si>
    <t>Exact nonblank vendor property ID within the same vendor namespace, or exact conservative normalized full component address with no unit conflict.</t>
  </si>
  <si>
    <t>O1_P5_Rating</t>
  </si>
  <si>
    <t>DealMachine internal_property_id is vendor-specific; row_index is never a cross-file ID.</t>
  </si>
  <si>
    <t>Merge candidate only after provenance checks.</t>
  </si>
  <si>
    <t>Probable review</t>
  </si>
  <si>
    <t>Directional/street-suffix-equivalent address plus same city/state/ZIP5, supported by coordinates or compatible building attributes.</t>
  </si>
  <si>
    <t>No match on street name alone; never drop unit/suite.</t>
  </si>
  <si>
    <t>O1_P5_Source</t>
  </si>
  <si>
    <t>Review queue.</t>
  </si>
  <si>
    <t>batch_data | reonomy | crexi</t>
  </si>
  <si>
    <t>Ambiguous separate</t>
  </si>
  <si>
    <t>Incomplete address, unit conflict, or fuzzy address without corroboration.</t>
  </si>
  <si>
    <t>Keep separate.</t>
  </si>
  <si>
    <t>No merge.</t>
  </si>
  <si>
    <t>O1_P5_Type</t>
  </si>
  <si>
    <t>Person/contact</t>
  </si>
  <si>
    <t>Exact valid normalized email with no contradictory identity evidence; or exact valid phone plus exact conservative name/company key.</t>
  </si>
  <si>
    <t>O1_P4_Number</t>
  </si>
  <si>
    <t>Shared mailbox/main line and classification conflicts downgrade to review.</t>
  </si>
  <si>
    <t>O1_P6_Source</t>
  </si>
  <si>
    <t>(909) 279-4641 | (903) 785-0771 | (314)-766-7181</t>
  </si>
  <si>
    <t>Provisional auto-match candidate.</t>
  </si>
  <si>
    <t>Unpivot O1 phone 4 and attach its companion metadata; preserve raw.</t>
  </si>
  <si>
    <t>Exact phone alone; exact email with different names; or strong name+company+property relationship combination.</t>
  </si>
  <si>
    <t>O1_P7_Source</t>
  </si>
  <si>
    <t>Households and coworkers remain separate absent stronger evidence.</t>
  </si>
  <si>
    <t>mobile | landline | unknown</t>
  </si>
  <si>
    <t>Name-only or fuzzy-name-only similarity; same property without shared identifiers.</t>
  </si>
  <si>
    <t>Do not merge.</t>
  </si>
  <si>
    <t>Keep separate and flag.</t>
  </si>
  <si>
    <t>O1_P8_Source</t>
  </si>
  <si>
    <t>Company</t>
  </si>
  <si>
    <t>Exact conservative normalized company name plus shared exact email/domain, phone, or property relationship evidence.</t>
  </si>
  <si>
    <t>Legal-suffix removal alone is not sufficient.</t>
  </si>
  <si>
    <t>bad | unrated | unsure</t>
  </si>
  <si>
    <t>Relaxed legal-suffix/punctuation equivalence with corroborating property/contact evidence.</t>
  </si>
  <si>
    <t>Parent/subsidiary and franchise relationships remain distinct.</t>
  </si>
  <si>
    <t>Value equivalence</t>
  </si>
  <si>
    <t>Exact approved normalized base number and extension policy.</t>
  </si>
  <si>
    <t>Each distinct extension may remain a distinct method; invalid/unscoped international numbers are unscored.</t>
  </si>
  <si>
    <t>Score exact equivalents only.</t>
  </si>
  <si>
    <t>Exact trimmed lowercase address.</t>
  </si>
  <si>
    <t>No dot removal, plus-tag removal, typo correction, or alias inference.</t>
  </si>
  <si>
    <t>O2_Company</t>
  </si>
  <si>
    <t>O1_P5_Number</t>
  </si>
  <si>
    <t>(903) 815-7231 | (513) 429-2506 | (575) 393-1540</t>
  </si>
  <si>
    <t>Unpivot O1 phone 5 and attach its companion metadata; preserve raw.</t>
  </si>
  <si>
    <t>O2_P1_Rating</t>
  </si>
  <si>
    <t>O2_P1_Source</t>
  </si>
  <si>
    <t>O2_P1_Type</t>
  </si>
  <si>
    <t>O2_P2_Rating</t>
  </si>
  <si>
    <t>O2_P2_Source</t>
  </si>
  <si>
    <t>O1_P6_Number</t>
  </si>
  <si>
    <t>(913) 681-9441 | (816)-289-7221 | (913) 405-4661</t>
  </si>
  <si>
    <t>Unpivot O1 phone 6 and attach its companion metadata; preserve raw.</t>
  </si>
  <si>
    <t>O2_P2_Type</t>
  </si>
  <si>
    <t>O1_P6_Type</t>
  </si>
  <si>
    <t>O2_P3_Rating</t>
  </si>
  <si>
    <t>O2_P3_Source</t>
  </si>
  <si>
    <t>O1_P6_Rating</t>
  </si>
  <si>
    <t>unrated | bad | unsure</t>
  </si>
  <si>
    <t>O2_P3_Type</t>
  </si>
  <si>
    <t>O2_P4_Rating</t>
  </si>
  <si>
    <t>O1_P7_Number</t>
  </si>
  <si>
    <t>+1(316)644-6165 | (417) 529-0025 | (417) 437-3701</t>
  </si>
  <si>
    <t>O2_P4_Source</t>
  </si>
  <si>
    <t>Unpivot O1 phone 7 and attach its companion metadata; preserve raw.</t>
  </si>
  <si>
    <t>O2_P4_Type</t>
  </si>
  <si>
    <t>O1_P7_Type</t>
  </si>
  <si>
    <t>O2_P5_Source</t>
  </si>
  <si>
    <t>O2_P5_Type</t>
  </si>
  <si>
    <t>O1_P7_Rating</t>
  </si>
  <si>
    <t>O2_Role</t>
  </si>
  <si>
    <t>O2_Sources</t>
  </si>
  <si>
    <t>batch_data | crexi | crexi | batch_data</t>
  </si>
  <si>
    <t>O3_Company</t>
  </si>
  <si>
    <t>O1_P8_Number</t>
  </si>
  <si>
    <t>(313) 729-9906 | (314) 532-2108 | (214) 348-3185</t>
  </si>
  <si>
    <t>Unpivot O1 phone 8 and attach its companion metadata; preserve raw.</t>
  </si>
  <si>
    <t>O3_P1_Rating</t>
  </si>
  <si>
    <t>O1_P8_Type</t>
  </si>
  <si>
    <t>O3_P1_Source</t>
  </si>
  <si>
    <t>O3_P1_Type</t>
  </si>
  <si>
    <t>O1_P8_Rating</t>
  </si>
  <si>
    <t>unrated | bad | good</t>
  </si>
  <si>
    <t>O3_P2_Rating</t>
  </si>
  <si>
    <t>batch_data | crexi | batch_data</t>
  </si>
  <si>
    <t>O3_P2_Source</t>
  </si>
  <si>
    <t>O3_P2_Type</t>
  </si>
  <si>
    <t>O1_P9_Number</t>
  </si>
  <si>
    <t>(417) 499-7945 | (951) 452-8342 | (405) 840-1500</t>
  </si>
  <si>
    <t>Unpivot O1 phone 9 and attach its companion metadata; preserve raw.</t>
  </si>
  <si>
    <t>O3_P3_Rating</t>
  </si>
  <si>
    <t>O1_P9_Type</t>
  </si>
  <si>
    <t>O3_P3_Source</t>
  </si>
  <si>
    <t>mobile | landline</t>
  </si>
  <si>
    <t>Proposed Source Scoring and Target Card Ranking</t>
  </si>
  <si>
    <t>Field scores are distinct-source counts. The overall Target Card formula is a proposal and has not been calculated.</t>
  </si>
  <si>
    <t>O3_P3_Type</t>
  </si>
  <si>
    <t>Scoring / Ranking Component</t>
  </si>
  <si>
    <t>Proposal</t>
  </si>
  <si>
    <t>Approval Question</t>
  </si>
  <si>
    <t>O1_P9_Rating</t>
  </si>
  <si>
    <t>bad | unrated</t>
  </si>
  <si>
    <t>O3_P4_Source</t>
  </si>
  <si>
    <t>Field source score</t>
  </si>
  <si>
    <t>For each approved normalized contact name, company name, phone, or email value: count distinct source CSV filenames containing the value; duplicate occurrences within one file count once.</t>
  </si>
  <si>
    <t>Approve exact-only scoring after normalization?</t>
  </si>
  <si>
    <t>O3_P4_Type</t>
  </si>
  <si>
    <t>Excluded values</t>
  </si>
  <si>
    <t>Do not score blank, explicit Unknown, other placeholders, invalid values, or values whose equivalence/classification remains uncertain.</t>
  </si>
  <si>
    <t>Approve placeholder and validation lists?</t>
  </si>
  <si>
    <t>O1_P9_Source</t>
  </si>
  <si>
    <t>batch_data | crexi</t>
  </si>
  <si>
    <t>O3_P5_Source</t>
  </si>
  <si>
    <t>Phone/email ordering</t>
  </si>
  <si>
    <t>Sort valid methods by source_score descending; ties by approved phone-type priority (suggest Mobile &gt; Direct/Landline &gt; Toll-free &gt; Unknown), then preferred-source priority, then normalized value ascending. Invalid values remain available after valid values.</t>
  </si>
  <si>
    <t>Confirm phone-type and source priority.</t>
  </si>
  <si>
    <t>Proposed overall Target Card rank</t>
  </si>
  <si>
    <t>Pending approval only: rank_points = 100×max_email_score + 80×max_phone_score + 20×name_score + 10×company_score + 5×distinct relationship-source count. Missing/unscored fields contribute 0.</t>
  </si>
  <si>
    <t>O3_P5_Type</t>
  </si>
  <si>
    <t>Approve or revise weights; no overall score will be generated before approval.</t>
  </si>
  <si>
    <t>O1_P10_Number</t>
  </si>
  <si>
    <t>(909) 754-0747 | +1(318)801-9798 | +1(479)747-3534</t>
  </si>
  <si>
    <t>Contact tie-breakers</t>
  </si>
  <si>
    <t>After rank_points: confirmed current owner first; then current/likely owner over previous owner; then higher relationship confidence; then more valid contact methods; then deterministic contact_id ascending.</t>
  </si>
  <si>
    <t>Unpivot O1 phone 10 and attach its companion metadata; preserve raw.</t>
  </si>
  <si>
    <t>Confirm role precedence for Praxis Target Cards.</t>
  </si>
  <si>
    <t>O3_P6_Rating</t>
  </si>
  <si>
    <t>Multiple methods</t>
  </si>
  <si>
    <t>Use the highest valid email and phone scores in the contact-rank formula; keep and independently score every lower-ranked method.</t>
  </si>
  <si>
    <t>Approve max-method treatment rather than summing methods?</t>
  </si>
  <si>
    <t>O1_P10_Type</t>
  </si>
  <si>
    <t>O3_P7_Rating</t>
  </si>
  <si>
    <t>O3_Role</t>
  </si>
  <si>
    <t>O1_P10_Rating</t>
  </si>
  <si>
    <t>O3_Sources</t>
  </si>
  <si>
    <t>O1_P10_Source</t>
  </si>
  <si>
    <t>O4_Company</t>
  </si>
  <si>
    <t>batch_data</t>
  </si>
  <si>
    <t>O1_P11_Number</t>
  </si>
  <si>
    <t>+1(936)447-2700 | +1(405)627-6283</t>
  </si>
  <si>
    <t>O4_P1_Rating</t>
  </si>
  <si>
    <t>Unpivot O1 phone 11 and attach its companion metadata; preserve raw.</t>
  </si>
  <si>
    <t>O4_P1_Source</t>
  </si>
  <si>
    <t>O1_P11_Type</t>
  </si>
  <si>
    <t>landline | mobile</t>
  </si>
  <si>
    <t>O4_P1_Type</t>
  </si>
  <si>
    <t>O1_P11_Rating</t>
  </si>
  <si>
    <t>O4_P2_Rating</t>
  </si>
  <si>
    <t>unrated</t>
  </si>
  <si>
    <t>O4_P2_Source</t>
  </si>
  <si>
    <t>O1_P12_Number</t>
  </si>
  <si>
    <t>+1(936)588-7455</t>
  </si>
  <si>
    <t>O4_P2_Type</t>
  </si>
  <si>
    <t>Unpivot O1 phone 12 and attach its companion metadata; preserve raw.</t>
  </si>
  <si>
    <t>O4_P3_Source</t>
  </si>
  <si>
    <t>O1_P12_Type</t>
  </si>
  <si>
    <t>landline</t>
  </si>
  <si>
    <t>O4_P3_Type</t>
  </si>
  <si>
    <t>O4_P4_Rating</t>
  </si>
  <si>
    <t>O1_P12_Rating</t>
  </si>
  <si>
    <t>O4_P4_Source</t>
  </si>
  <si>
    <t>blksunshine1@yahoo.com | rmbielawa@yahoo.com | beezy8732@hotmail.com</t>
  </si>
  <si>
    <t>O4_P5_Source</t>
  </si>
  <si>
    <t>Unpivot O1 email 1; lowercase for exact match key only; preserve raw.</t>
  </si>
  <si>
    <t>Repeated owner email field.</t>
  </si>
  <si>
    <t>O4_Role</t>
  </si>
  <si>
    <t>brooky3000@yahoo.com | jwcchappell@aol.com | d.withall@minerent.com</t>
  </si>
  <si>
    <t>O4_Sources</t>
  </si>
  <si>
    <t>Unpivot O1 email 2; lowercase for exact match key only; preserve raw.</t>
  </si>
  <si>
    <t>ironridertim@gmail.com | chap4osu@aol.com | dwithall@minerent.com</t>
  </si>
  <si>
    <t>Unpivot O1 email 3; lowercase for exact match key only; preserve raw.</t>
  </si>
  <si>
    <t>O5_P1_Rating</t>
  </si>
  <si>
    <t>O5_P1_Source</t>
  </si>
  <si>
    <t>cadillac38dj@gmail.com | michellee@pricebrotherskc.com | chris@dealexpress.com</t>
  </si>
  <si>
    <t>Unpivot O1 email 4; lowercase for exact match key only; preserve raw.</t>
  </si>
  <si>
    <t>O5_P1_Type</t>
  </si>
  <si>
    <t>tammygray2013@gmail.com | iprice@pricebrotherskc.com | steve.petter@pettersupply.com</t>
  </si>
  <si>
    <t>O5_P2_Rating</t>
  </si>
  <si>
    <t>Unpivot O1 email 5; lowercase for exact match key only; preserve raw.</t>
  </si>
  <si>
    <t>O5_P2_Source</t>
  </si>
  <si>
    <t>cadillac5stars@yahoo.com | stevenpetter@gmail.com | kevinw6@bright.net</t>
  </si>
  <si>
    <t>Unpivot O1 email 6; lowercase for exact match key only; preserve raw.</t>
  </si>
  <si>
    <t>O5_P2_Type</t>
  </si>
  <si>
    <t>O5_P3_Rating</t>
  </si>
  <si>
    <t>marks2420@msn.com | emmanuel@dslextreme.com | malmaraz@harrisonlevy.com</t>
  </si>
  <si>
    <t>Approval Questions Before Any Merge</t>
  </si>
  <si>
    <t>Unpivot O1 email 7; lowercase for exact match key only; preserve raw.</t>
  </si>
  <si>
    <t>These decisions materially affect the database model, entity classification, matching, scoring, display values, or Praxis compatibility.</t>
  </si>
  <si>
    <t>O5_P3_Source</t>
  </si>
  <si>
    <t>Decision ID</t>
  </si>
  <si>
    <t>Topic</t>
  </si>
  <si>
    <t>Decision Needed</t>
  </si>
  <si>
    <t>O1_E8_Email</t>
  </si>
  <si>
    <t>m.shank@pioneerwhse.com | manny1997@iwon.com</t>
  </si>
  <si>
    <t>Recommendation</t>
  </si>
  <si>
    <t>Impact</t>
  </si>
  <si>
    <t>O5_P3_Type</t>
  </si>
  <si>
    <t>Unpivot O1 email 8; lowercase for exact match key only; preserve raw.</t>
  </si>
  <si>
    <t>D01</t>
  </si>
  <si>
    <t>O5_P4_Source</t>
  </si>
  <si>
    <t>O1_E9_Email</t>
  </si>
  <si>
    <t>manny1997@epix.net</t>
  </si>
  <si>
    <t>Unpivot O1 email 9; lowercase for exact match key only; preserve raw.</t>
  </si>
  <si>
    <t>O5_P4_Type</t>
  </si>
  <si>
    <t>Praxis destination specification</t>
  </si>
  <si>
    <t>Provide Praxis import template/API/sample export or approve the canonical model as an interim design.</t>
  </si>
  <si>
    <t>Provide the Praxis specification before production output.</t>
  </si>
  <si>
    <t>Final column names, array handling, IDs, and relationship import compatibility cannot be guaranteed without it.</t>
  </si>
  <si>
    <t>O5_P5_Source</t>
  </si>
  <si>
    <t>O1_E10_Email</t>
  </si>
  <si>
    <t>crawford_emmanuel@juno.com</t>
  </si>
  <si>
    <t>D02</t>
  </si>
  <si>
    <t>Unpivot O1 email 10; lowercase for exact match key only; preserve raw.</t>
  </si>
  <si>
    <t>O5_P5_Type</t>
  </si>
  <si>
    <t>Normalized contact methods table</t>
  </si>
  <si>
    <t>Approve contact_methods.csv in addition to contacts.csv.</t>
  </si>
  <si>
    <t>Approve it; one phone/email per row preserves arbitrary cardinality, scores, types, extensions, ordering, and provenance.</t>
  </si>
  <si>
    <t>Without it, contacts.csv needs fragile repeated columns or JSON arrays.</t>
  </si>
  <si>
    <t>D03</t>
  </si>
  <si>
    <t>O5_Role</t>
  </si>
  <si>
    <t>Field-level provenance</t>
  </si>
  <si>
    <t>O1_E11_Email</t>
  </si>
  <si>
    <t>Approve field_value_provenance.csv and source_records.csv as audit tables.</t>
  </si>
  <si>
    <t>manny_1997@hotmail.com</t>
  </si>
  <si>
    <t>Approve both for database ingestion; keep requested transformation logs as human-readable summaries.</t>
  </si>
  <si>
    <t>These tables are the reliable mechanism for zero silent data loss and source-row traceability.</t>
  </si>
  <si>
    <t>D04</t>
  </si>
  <si>
    <t>Unpivot O1 email 11; lowercase for exact match key only; preserve raw.</t>
  </si>
  <si>
    <t>Batch p*_age semantics</t>
  </si>
  <si>
    <t>O5_Sources</t>
  </si>
  <si>
    <t>Confirm whether ISO dates are dates of birth and whether Praxis may retain this sensitive field.</t>
  </si>
  <si>
    <t>Keep only in restricted provenance until confirmed; do not expose on Target Cards by default.</t>
  </si>
  <si>
    <t>Wrong semantic mapping and privacy risk.</t>
  </si>
  <si>
    <t>D05</t>
  </si>
  <si>
    <t>O1_E12_Email</t>
  </si>
  <si>
    <t>manny1997@aol.com</t>
  </si>
  <si>
    <t>Is SalesMastery Business Name the property name, occupant/tenant, owner company, or another relationship?</t>
  </si>
  <si>
    <t>Keep as relationship.business_name_raw until defined.</t>
  </si>
  <si>
    <t>Unpivot O1 email 12; lowercase for exact match key only; preserve raw.</t>
  </si>
  <si>
    <t>Determines whether a company contact/link is created.</t>
  </si>
  <si>
    <t>O6_P1_Rating</t>
  </si>
  <si>
    <t>D06</t>
  </si>
  <si>
    <t>Company/person classification</t>
  </si>
  <si>
    <t>Approve the business-indicator vocabulary and review threshold.</t>
  </si>
  <si>
    <t>O1_E13_Email</t>
  </si>
  <si>
    <t>Auto-classify only strong legal/business patterns; uncertain values remain contact_type=unknown.</t>
  </si>
  <si>
    <t>manny1997@mobile.att.net</t>
  </si>
  <si>
    <t>Prevents companies from being parsed as people and vice versa.</t>
  </si>
  <si>
    <t>O6_P1_Source</t>
  </si>
  <si>
    <t>D07</t>
  </si>
  <si>
    <t>Unpivot O1 email 13; lowercase for exact match key only; preserve raw.</t>
  </si>
  <si>
    <t>Roof vocabulary</t>
  </si>
  <si>
    <t>Approve roof shape/type versus roof-cover separation and the Unknown+valid-token rule.</t>
  </si>
  <si>
    <t>Keep DealMachine roof_type and roof_cover separate; approve a controlled vocabulary before normalization.</t>
  </si>
  <si>
    <t>Avoids contradictory or semantically mixed roof values.</t>
  </si>
  <si>
    <t>O6_P1_Type</t>
  </si>
  <si>
    <t>D08</t>
  </si>
  <si>
    <t>Phone scope</t>
  </si>
  <si>
    <t>O1_E14_Email</t>
  </si>
  <si>
    <t>Are all contacts expected to use North American numbering, and should extensions define distinct methods?</t>
  </si>
  <si>
    <t>speedyc1901@aol.com</t>
  </si>
  <si>
    <t>Assume NANP only for validation, not deletion; retain extension separately and include it in exact equivalence unless approved otherwise.</t>
  </si>
  <si>
    <t>Changes validity, matching, and scores.</t>
  </si>
  <si>
    <t>D09</t>
  </si>
  <si>
    <t>Unpivot O1 email 14; lowercase for exact match key only; preserve raw.</t>
  </si>
  <si>
    <t>O6_Role</t>
  </si>
  <si>
    <t>Source priority</t>
  </si>
  <si>
    <t>Define trust/recency priority among BatchData, StormPull, SalesMastery, and DealMachine for display-value ties.</t>
  </si>
  <si>
    <t>Do not set a winner yet; use source count first and retain conflicts.</t>
  </si>
  <si>
    <t>Controls deterministic primary/display selection.</t>
  </si>
  <si>
    <t>D10</t>
  </si>
  <si>
    <t>Overall contact ranking</t>
  </si>
  <si>
    <t>O1_E15_Email</t>
  </si>
  <si>
    <t>O6_Sources</t>
  </si>
  <si>
    <t>Approve or revise the proposed rank formula and role tie-breakers.</t>
  </si>
  <si>
    <t>manny1997@gmail.com</t>
  </si>
  <si>
    <t>Use max email/phone scores rather than sums so extra low-quality methods do not inflate rank.</t>
  </si>
  <si>
    <t>Controls Target Card ordering; not calculated until approved.</t>
  </si>
  <si>
    <t>D11</t>
  </si>
  <si>
    <t>Unpivot O1 email 15; lowercase for exact match key only; preserve raw.</t>
  </si>
  <si>
    <t>Previous owners</t>
  </si>
  <si>
    <t>Should previous owners remain linkable/searchable and where should they rank?</t>
  </si>
  <si>
    <t>Retain historical links but rank after current/likely owners unless explicitly requested.</t>
  </si>
  <si>
    <t>Prevents relationship-history loss while reducing outreach mistakes.</t>
  </si>
  <si>
    <t>D12</t>
  </si>
  <si>
    <t>O1_E16_Email</t>
  </si>
  <si>
    <t>manny1997@sbcglobal.net</t>
  </si>
  <si>
    <t>Storm events</t>
  </si>
  <si>
    <t>O7_P1_Type</t>
  </si>
  <si>
    <t>Keep events_json only, or normalize it into a property_events table?</t>
  </si>
  <si>
    <t>Unpivot O1 email 16; lowercase for exact match key only; preserve raw.</t>
  </si>
  <si>
    <t>Normalize for database use while retaining the raw JSON and source row.</t>
  </si>
  <si>
    <t>Affects queryability and database design, not property/contact resolution.</t>
  </si>
  <si>
    <t>O1_E17_Email</t>
  </si>
  <si>
    <t>crawford_emmanuel@hotmail.com</t>
  </si>
  <si>
    <t>O7_Role</t>
  </si>
  <si>
    <t>Unpivot O1 email 17; lowercase for exact match key only; preserve raw.</t>
  </si>
  <si>
    <t>O7_Sources</t>
  </si>
  <si>
    <t>Lisa Marie Hunt | Log10 Llc | Paul A Beck</t>
  </si>
  <si>
    <t>O8_Company</t>
  </si>
  <si>
    <t>Repeated SalesMastery owner slot O2.</t>
  </si>
  <si>
    <t>other | owner | unknown</t>
  </si>
  <si>
    <t>O8_P1_Type</t>
  </si>
  <si>
    <t>LOG10 LLC | Americare Home Therapy, Inc. | chase properties</t>
  </si>
  <si>
    <t>O8_Role</t>
  </si>
  <si>
    <t>O2_Confidence</t>
  </si>
  <si>
    <t>High | Medium | Unverified</t>
  </si>
  <si>
    <t>O8_Sources</t>
  </si>
  <si>
    <t>O2_Confirmed_Owner</t>
  </si>
  <si>
    <t>O9_P1_Type</t>
  </si>
  <si>
    <t>O2_Is_Previous_Owner</t>
  </si>
  <si>
    <t>O9_P3_Rating</t>
  </si>
  <si>
    <t>batch_data | My Targets CSV Upload | reonomy</t>
  </si>
  <si>
    <t>O9_Role</t>
  </si>
  <si>
    <t>(469) 857-4420 | (405) 548-4487 | 9406968121</t>
  </si>
  <si>
    <t>carredondo@thecapitalrealty.com | dsweeney@curryre.com | pioneerparkmini@sbcglobal.net</t>
  </si>
  <si>
    <t>(580) 763-7131 | +1(405)372-2776 | (903) 785-5185</t>
  </si>
  <si>
    <t>Unpivot O2 phone 1 and attach its companion metadata; preserve raw.</t>
  </si>
  <si>
    <t>Estimated Effect of Proposed Rules</t>
  </si>
  <si>
    <t>Counts are diagnostic estimates from conservative exact keys or explicitly labeled candidate rules; no records have been merged, deleted, corrected, or scored for production.</t>
  </si>
  <si>
    <t>Metric</t>
  </si>
  <si>
    <t>Estimated Count</t>
  </si>
  <si>
    <t>Interpretation / Limitation</t>
  </si>
  <si>
    <t>Input files</t>
  </si>
  <si>
    <t>unsure | bad | unrated</t>
  </si>
  <si>
    <t>All four parsed.</t>
  </si>
  <si>
    <t>Input data rows</t>
  </si>
  <si>
    <t>No records transformed or merged in Phase 1.</t>
  </si>
  <si>
    <t>Source columns mapped</t>
  </si>
  <si>
    <t>Every source column has a proposed canonical or source-specific metadata mapping.</t>
  </si>
  <si>
    <t>Rows with usable property address</t>
  </si>
  <si>
    <t>Candidate property linkage base.</t>
  </si>
  <si>
    <t>Distinct conservative exact address keys</t>
  </si>
  <si>
    <t>Preliminary property upper/lower estimate; not final property count.</t>
  </si>
  <si>
    <t>Distinct suffix/directional-equivalent candidate address keys</t>
  </si>
  <si>
    <t>Review-oriented estimate only; rule not approved/applied.</t>
  </si>
  <si>
    <t>Potential property-row consolidation at conservative exact key</t>
  </si>
  <si>
    <t>Mostly cross-source overlap; source rows would remain in provenance.</t>
  </si>
  <si>
    <t>(580) 718-1268 | +1(870)397-3666 | (785) 341-5009</t>
  </si>
  <si>
    <t>Exact-address property clusters spanning multiple files</t>
  </si>
  <si>
    <t>High-confidence property candidates subject to unit/identifier conflict checks.</t>
  </si>
  <si>
    <t>Unpivot O2 phone 2 and attach its companion metadata; preserve raw.</t>
  </si>
  <si>
    <t>Source rows in exact cross-file property clusters</t>
  </si>
  <si>
    <t>No source rows would be deleted; all remain in provenance.</t>
  </si>
  <si>
    <t>Suffix/directional candidate property groups needing review</t>
  </si>
  <si>
    <t>Candidate keys bridge multiple conservative exact keys; no merge applied.</t>
  </si>
  <si>
    <t>Rows in those probable property groups</t>
  </si>
  <si>
    <t>Review workload estimate only.</t>
  </si>
  <si>
    <t>Rows lacking a usable complete address key</t>
  </si>
  <si>
    <t>Remain unlinked/ambiguous until other identifiers or review resolve them.</t>
  </si>
  <si>
    <t>Extracted contact/owner slot occurrences</t>
  </si>
  <si>
    <t>Structural occurrence count before entity resolution.</t>
  </si>
  <si>
    <t>Conservative high-confidence contact clusters</t>
  </si>
  <si>
    <t>Exact email without name collision or exact phone+exact name; estimate only.</t>
  </si>
  <si>
    <t>Contact occurrences in those clusters</t>
  </si>
  <si>
    <t>Occurrences potentially consolidated after approval.</t>
  </si>
  <si>
    <t>Estimated occurrence reduction in high-confidence clusters</t>
  </si>
  <si>
    <t>Not applied; source occurrences remain in provenance.</t>
  </si>
  <si>
    <t>High-confidence clusters spanning multiple files</t>
  </si>
  <si>
    <t>Direct cross-source entity-resolution opportunities.</t>
  </si>
  <si>
    <t>Exact email values spanning multiple files</t>
  </si>
  <si>
    <t>Some may be shared mailboxes/name collisions and require guardrails.</t>
  </si>
  <si>
    <t>Exact phone values spanning multiple files</t>
  </si>
  <si>
    <t>Phone-only matches may be household/company lines and require guardrails.</t>
  </si>
  <si>
    <t>Exact email groups with multiple normalized names</t>
  </si>
  <si>
    <t>Probable/ambiguous review groups; name variants may still represent one person.</t>
  </si>
  <si>
    <t>(580) 767-1755 | +1(970)544-9700 | (573)-528-3392</t>
  </si>
  <si>
    <t>Exact phone groups with multiple normalized names</t>
  </si>
  <si>
    <t>Probable/ambiguous review groups; shared household/company lines are possible.</t>
  </si>
  <si>
    <t>Unpivot O2 phone 3 and attach its companion metadata; preserve raw.</t>
  </si>
  <si>
    <t>unsure | unrated | bad</t>
  </si>
  <si>
    <t>+1(316)680-0771 | (415)-828-8377 | (816)-728-7788</t>
  </si>
  <si>
    <t>Unpivot O2 phone 4 and attach its companion metadata; preserve raw.</t>
  </si>
  <si>
    <t>reonomy | batch_data | crexi</t>
  </si>
  <si>
    <t>(509)-493-3441 | (541)-380-1599 | (217)-854-3622</t>
  </si>
  <si>
    <t>Unpivot O2 phone 5 and attach its companion metadata; preserve raw.</t>
  </si>
  <si>
    <t>O2_P5_Rating</t>
  </si>
  <si>
    <t>Controlled Implementation and Validation Plan</t>
  </si>
  <si>
    <t>Phase 1 stops at Approval A. A second approval checkpoint follows sample outputs before production generation.</t>
  </si>
  <si>
    <t>Step</t>
  </si>
  <si>
    <t>Checkpoint</t>
  </si>
  <si>
    <t>Action</t>
  </si>
  <si>
    <t>O2_P6_Number</t>
  </si>
  <si>
    <t>(816)-215-2640 | (913) 219-5656 | (715)-675-2036</t>
  </si>
  <si>
    <t>Validation / Stop Condition</t>
  </si>
  <si>
    <t>Unpivot O2 phone 6 and attach its companion metadata; preserve raw.</t>
  </si>
  <si>
    <t>Approval A</t>
  </si>
  <si>
    <t>Approve schemas, complete 841-column mapping, normalization/matching/scoring rules, and decisions D01-D12.</t>
  </si>
  <si>
    <t>No production merge before approval.</t>
  </si>
  <si>
    <t>O2_P6_Type</t>
  </si>
  <si>
    <t>Source preservation</t>
  </si>
  <si>
    <t>Create checksummed untouched copies/manifests and stable source-row IDs; record encoding, delimiter, header, and byte hash.</t>
  </si>
  <si>
    <t>Reconcile 4 files and every parsed row/column.</t>
  </si>
  <si>
    <t>O2_P6_Rating</t>
  </si>
  <si>
    <t>Structural normalization</t>
  </si>
  <si>
    <t>Unpivot repeated owner/contact/phone/email slots and validate embedded JSON without changing meaning.</t>
  </si>
  <si>
    <t>bad | unrated | good</t>
  </si>
  <si>
    <t>Every source cell maps to an occurrence/provenance row or source-specific metadata.</t>
  </si>
  <si>
    <t>O10_Company</t>
  </si>
  <si>
    <t>Value normalization</t>
  </si>
  <si>
    <t>Apply approved missingness, email, phone, name, company, address, roof, date, and identifier rules.</t>
  </si>
  <si>
    <t>Raw and normalized values coexist; invalid/placeholder counts reconcile.</t>
  </si>
  <si>
    <t>Property resolution</t>
  </si>
  <si>
    <t>Apply exact property rules, generate probable-review queue, and assign provisional stable property IDs.</t>
  </si>
  <si>
    <t>No address-only fuzzy merge; compare counts to estimates.</t>
  </si>
  <si>
    <t>O2_P6_Source</t>
  </si>
  <si>
    <t>reonomy | batch_data</t>
  </si>
  <si>
    <t>Contact/company resolution</t>
  </si>
  <si>
    <t>Apply exact identifiers with guardrails, create probable/ambiguous review queues, and assign provisional contact IDs.</t>
  </si>
  <si>
    <t>Collision groups remain unresolved until reviewed.</t>
  </si>
  <si>
    <t>Relationship construction</t>
  </si>
  <si>
    <t>Build property-contact links from every source slot/role and retain multiple properties per contact.</t>
  </si>
  <si>
    <t>No orphan FKs and no lost source relationship.</t>
  </si>
  <si>
    <t>Scoring/ranking</t>
  </si>
  <si>
    <t>Calculate exact distinct-source scores and approved Target Card order.</t>
  </si>
  <si>
    <t>O2_P7_Number</t>
  </si>
  <si>
    <t>Repeated occurrences within one file count once; per-value contributing files reconcile.</t>
  </si>
  <si>
    <t>(417)-848-1799 | (573) 756-2400 | +1(903)893-9333</t>
  </si>
  <si>
    <t>Approval B</t>
  </si>
  <si>
    <t>Deliver a sample output plus reconciliation, conflicts, duplicates, and rule-impact report.</t>
  </si>
  <si>
    <t>Unpivot O2 phone 7 and attach its companion metadata; preserve raw.</t>
  </si>
  <si>
    <t>Stop for review before production files.</t>
  </si>
  <si>
    <t>O2_P7_Type</t>
  </si>
  <si>
    <t>Production</t>
  </si>
  <si>
    <t>Generate approved CSVs, data dictionary, methodology, logs, and validation summary.</t>
  </si>
  <si>
    <t>Zero silent drops; all rows, values, links, scores, and foreign keys reconcile.</t>
  </si>
  <si>
    <t>O5_Company</t>
  </si>
  <si>
    <t>O2_P7_Rating</t>
  </si>
  <si>
    <t>O6_Company</t>
  </si>
  <si>
    <t>O2_P7_Source</t>
  </si>
  <si>
    <t>O2_P8_Number</t>
  </si>
  <si>
    <t>(573) 756-5010 | +1(972)517-4375 | +1(515)306-7372</t>
  </si>
  <si>
    <t>Unpivot O2 phone 8 and attach its companion metadata; preserve raw.</t>
  </si>
  <si>
    <t>O2_P8_Type</t>
  </si>
  <si>
    <t>O2_P8_Rating</t>
  </si>
  <si>
    <t>unrated | bad</t>
  </si>
  <si>
    <t>O2_P8_Source</t>
  </si>
  <si>
    <t>O2_P9_Number</t>
  </si>
  <si>
    <t>+1(580)931-0080 | +1(515)321-3976 | +1(361)523-9402</t>
  </si>
  <si>
    <t>Unpivot O2 phone 9 and attach its companion metadata; preserve raw.</t>
  </si>
  <si>
    <t>O2_P9_Type</t>
  </si>
  <si>
    <t>O2_P9_Rating</t>
  </si>
  <si>
    <t>O2_P10_Number</t>
  </si>
  <si>
    <t>+1(575)769-3051</t>
  </si>
  <si>
    <t>Unpivot O2 phone 10 and attach its companion metadata; preserve raw.</t>
  </si>
  <si>
    <t>Illustrative Transformation Preview</t>
  </si>
  <si>
    <t>Representative source rows are shown as proposed unpivoted property/contact/link occurrences. Preview IDs are not production IDs and no records were merged.</t>
  </si>
  <si>
    <t>O2_P10_Type</t>
  </si>
  <si>
    <t>unknown</t>
  </si>
  <si>
    <t>Source Record</t>
  </si>
  <si>
    <t>Source Slot</t>
  </si>
  <si>
    <t>Raw Property Address</t>
  </si>
  <si>
    <t>Proposed Property Preview Key</t>
  </si>
  <si>
    <t>Raw Contact Name</t>
  </si>
  <si>
    <t>Proposed Contact Class</t>
  </si>
  <si>
    <t>Proposed Phone Occurrences</t>
  </si>
  <si>
    <t>Proposed Email Occurrences</t>
  </si>
  <si>
    <t>Proposed Relationship</t>
  </si>
  <si>
    <t>Review Flags</t>
  </si>
  <si>
    <t>Traceability</t>
  </si>
  <si>
    <t>O2_P10_Rating</t>
  </si>
  <si>
    <t>BatchData.csv:R2</t>
  </si>
  <si>
    <t>6413 South Choctaw Road, Choctaw, OK, 73020</t>
  </si>
  <si>
    <t>P_PREVIEW::6413 S CHOCTAW RD|CHOCTAW|OK|73020</t>
  </si>
  <si>
    <t>Derrick A Roberts</t>
  </si>
  <si>
    <t>person candidate</t>
  </si>
  <si>
    <t>2536910067</t>
  </si>
  <si>
    <t>craigaretha@gmail.com | derrick.roberts87@gmail.com | derrickroberts87@gmail.com</t>
  </si>
  <si>
    <t>skip_trace_candidate</t>
  </si>
  <si>
    <t>p*_age appears date-like</t>
  </si>
  <si>
    <t>Retain BatchData.csv, row 2, slot p1, and every original column/value.</t>
  </si>
  <si>
    <t>Illustrative only — no IDs, merges, or corrections applied.</t>
  </si>
  <si>
    <t>O2_P11_Number</t>
  </si>
  <si>
    <t>BatchData.csv:R3</t>
  </si>
  <si>
    <t>+1(575)693-0028</t>
  </si>
  <si>
    <t>2390 Memorial Boulevard, Kerrville, TX, 78028</t>
  </si>
  <si>
    <t>P_PREVIEW::2390 MEMORIAL BLVD|KERRVILLE|TX|78028</t>
  </si>
  <si>
    <t>Tony Roberts Homes</t>
  </si>
  <si>
    <t>company candidate</t>
  </si>
  <si>
    <t>tonykimroberts@hotmail.com | tony@tonyroberts.us</t>
  </si>
  <si>
    <t>Unpivot O2 phone 11 and attach its companion metadata; preserve raw.</t>
  </si>
  <si>
    <t>classification review</t>
  </si>
  <si>
    <t>Retain BatchData.csv, row 3, slot p1, and every original column/value.</t>
  </si>
  <si>
    <t>SalesMastery.csv:R6</t>
  </si>
  <si>
    <t>1405 North Waverly Street, Ponca City, OK, 74601</t>
  </si>
  <si>
    <t>P_PREVIEW::1405 N WAVERLY ST|PONCA CITY|OK|74601</t>
  </si>
  <si>
    <t>O2_P11_Type</t>
  </si>
  <si>
    <t>Century Products Properties Llc</t>
  </si>
  <si>
    <t>9187933382</t>
  </si>
  <si>
    <t>rmbielawa@yahoo.com</t>
  </si>
  <si>
    <t>Retain SalesMastery.csv, row 6, slot O8, and every original column/value.</t>
  </si>
  <si>
    <t>SalesMastery.csv:R7</t>
  </si>
  <si>
    <t>2000 Hall Boulevard, Ponca City, OK, 74601</t>
  </si>
  <si>
    <t>P_PREVIEW::2000 HALL BLVD|PONCA CITY|OK|74601</t>
  </si>
  <si>
    <t>Log10 Llc</t>
  </si>
  <si>
    <t>O2_P11_Rating</t>
  </si>
  <si>
    <t>owner</t>
  </si>
  <si>
    <t>likely_owner_contact_1_phone_number_1</t>
  </si>
  <si>
    <t>Retain SalesMastery.csv, row 7, slot O2, and every original column/value.</t>
  </si>
  <si>
    <t>DealMachine.csv:R2</t>
  </si>
  <si>
    <t>1425 S 5TH ST, SAINT CHARLES, MO, 63301</t>
  </si>
  <si>
    <t>P_PREVIEW::1425 S 5TH ST|SAINT CHARLES|MO|63301</t>
  </si>
  <si>
    <t>IWALA INC</t>
  </si>
  <si>
    <t>likely_owner_contact_1_phone_number_2</t>
  </si>
  <si>
    <t>recorded_owner</t>
  </si>
  <si>
    <t>Retain DealMachine.csv, row 2, slot recorded_owner_1, and every original column/value.</t>
  </si>
  <si>
    <t>O2_P12_Number</t>
  </si>
  <si>
    <t>+1(361)633-7750</t>
  </si>
  <si>
    <t>likely_owner_contact_1_phone_number_3</t>
  </si>
  <si>
    <t>MAHENDRA JARIWALA</t>
  </si>
  <si>
    <t>Unpivot O2 phone 12 and attach its companion metadata; preserve raw.</t>
  </si>
  <si>
    <t>3145148234</t>
  </si>
  <si>
    <t>mnjinc@yahoo.com | rmjariwala@yahoo.com | kmjariwala@gmail.com</t>
  </si>
  <si>
    <t>likely_owner</t>
  </si>
  <si>
    <t>Retain DealMachine.csv, row 2, slot likely_owner_1, and every original column/value.</t>
  </si>
  <si>
    <t>likely_owner_contact_2_phone_number_1</t>
  </si>
  <si>
    <t>O2_P12_Type</t>
  </si>
  <si>
    <t>likely_owner_contact_2_phone_number_2</t>
  </si>
  <si>
    <t>O2_P12_Rating</t>
  </si>
  <si>
    <t>likely_owner_contact_2_phone_number_3</t>
  </si>
  <si>
    <t>likely_owner_contact_3_phone_number_1</t>
  </si>
  <si>
    <t>lmhunt11960@yahoo.com | sales@scottproperties.com | jeffriesee@gmail.com</t>
  </si>
  <si>
    <t>Unpivot O2 email 1; lowercase for exact match key only; preserve raw.</t>
  </si>
  <si>
    <t>likely_owner_contact_3_phone_number_2</t>
  </si>
  <si>
    <t>jimbo_lisa@sbcglobal.net | scottd453@att.net | don.slager@awin.com</t>
  </si>
  <si>
    <t>Unpivot O2 email 2; lowercase for exact match key only; preserve raw.</t>
  </si>
  <si>
    <t>likely_owner_contact_3_phone_number_3</t>
  </si>
  <si>
    <t>likely_owner_contact_4_phone_number_1</t>
  </si>
  <si>
    <t>jimbo-lisa@sbcglobal.net | jgscott44@att.net | d.slager@republicservices.com</t>
  </si>
  <si>
    <t>Unpivot O2 email 3; lowercase for exact match key only; preserve raw.</t>
  </si>
  <si>
    <t>likely_owner_contact_4_phone_number_2</t>
  </si>
  <si>
    <t>kblock@blockllc.com | jctuterajr@gmail.com | kkeeling@mchsi.com</t>
  </si>
  <si>
    <t>Unpivot O2 email 4; lowercase for exact match key only; preserve raw.</t>
  </si>
  <si>
    <t>likely_owner_contact_4_phone_number_3</t>
  </si>
  <si>
    <t>O2_E5_Email</t>
  </si>
  <si>
    <t>shift1995@yahoo.com | troy.buhrmester@adm.com | jtutera@shipnat.com</t>
  </si>
  <si>
    <t>Unpivot O2 email 5; lowercase for exact match key only; preserve raw.</t>
  </si>
  <si>
    <t>likely_owner_contact_5_phone_number_1</t>
  </si>
  <si>
    <t>O2_E6_Email</t>
  </si>
  <si>
    <t>kblock@blockandco.com | pepperpike89@gmail.com | josephct@tutera.com</t>
  </si>
  <si>
    <t>likely_owner_contact_5_phone_number_2</t>
  </si>
  <si>
    <t>Unpivot O2 email 6; lowercase for exact match key only; preserve raw.</t>
  </si>
  <si>
    <t>likely_owner_contact_5_phone_number_3</t>
  </si>
  <si>
    <t>Steven Randolph | Basil O Ekpeti | Raymond E Beck</t>
  </si>
  <si>
    <t>O10_P1_Number</t>
  </si>
  <si>
    <t>Repeated SalesMastery owner slot O3.</t>
  </si>
  <si>
    <t>O10_P2_Number</t>
  </si>
  <si>
    <t>unknown | other | owner</t>
  </si>
  <si>
    <t>O11_P1_Number</t>
  </si>
  <si>
    <t>Stag Industrial, Inc. | Westerfield Townhouses Cooperative, Inc. | Meritex Enterprises, Inc.</t>
  </si>
  <si>
    <t>O11_P2_Number</t>
  </si>
  <si>
    <t>O3_Confidence</t>
  </si>
  <si>
    <t>Unverified | High | Medium</t>
  </si>
  <si>
    <t>O11_P3_Number</t>
  </si>
  <si>
    <t>O11_P4_Number</t>
  </si>
  <si>
    <t>O3_Confirmed_Owner</t>
  </si>
  <si>
    <t>O12_P1_Number</t>
  </si>
  <si>
    <t>O3_Is_Previous_Owner</t>
  </si>
  <si>
    <t>O12_P2_Number</t>
  </si>
  <si>
    <t>Roof-Type Normalization Examples</t>
  </si>
  <si>
    <t>The special Unknown rule is proposed only for roof fields. Raw values are always retained; controlled vocabulary approval is required.</t>
  </si>
  <si>
    <t>Source Column</t>
  </si>
  <si>
    <t>reonomy | batch_data | CSV Upload</t>
  </si>
  <si>
    <t>Raw Roof Value</t>
  </si>
  <si>
    <t>Proposed Normalized Preview</t>
  </si>
  <si>
    <t>Status / Limitation</t>
  </si>
  <si>
    <t>O12_P3_Number</t>
  </si>
  <si>
    <t>Pending controlled-vocabulary approval; raw retained.</t>
  </si>
  <si>
    <t>O3_Personal_Phone</t>
  </si>
  <si>
    <t>flat | tpo | unknown</t>
  </si>
  <si>
    <t>flat, tpo</t>
  </si>
  <si>
    <t>(806) 683-4460 | 2544850937 | 8582845334</t>
  </si>
  <si>
    <t>O12_P4_Number</t>
  </si>
  <si>
    <t>flat | unknown</t>
  </si>
  <si>
    <t>flat</t>
  </si>
  <si>
    <t>flat | unknown; shingle; mod_bit</t>
  </si>
  <si>
    <t>flat, shingle, mod_bit</t>
  </si>
  <si>
    <t>O12_P5_Number</t>
  </si>
  <si>
    <t>jrosencutter@glmv.com | julielair@adelphia.net | mzavaglia@ics-stl.com</t>
  </si>
  <si>
    <t>flat | unknown; tpo; mod_bit; shingle</t>
  </si>
  <si>
    <t>flat, tpo, mod_bit, shingle</t>
  </si>
  <si>
    <t>metal | unknown</t>
  </si>
  <si>
    <t>metal</t>
  </si>
  <si>
    <t>O13_P1_Number</t>
  </si>
  <si>
    <t>metal | unknown; metal</t>
  </si>
  <si>
    <t>(630) 632-2205 | (281) 646-0346 | +1(405)802-3770</t>
  </si>
  <si>
    <t>Unpivot O3 phone 1 and attach its companion metadata; preserve raw.</t>
  </si>
  <si>
    <t>metal | unknown; metal; tpo; pvc</t>
  </si>
  <si>
    <t>metal, tpo, pvc</t>
  </si>
  <si>
    <t>O14_P1_Number</t>
  </si>
  <si>
    <t>unknown | landline | mobile</t>
  </si>
  <si>
    <t>metal; mod_bit; unknown</t>
  </si>
  <si>
    <t>metal, mod_bit</t>
  </si>
  <si>
    <t>O14_P2_Number</t>
  </si>
  <si>
    <t>metal; tpo | unknown</t>
  </si>
  <si>
    <t>metal, tpo</t>
  </si>
  <si>
    <t>unrated | unsure | good</t>
  </si>
  <si>
    <t>mod_bit | unknown</t>
  </si>
  <si>
    <t>mod_bit</t>
  </si>
  <si>
    <t>O14_P3_Number</t>
  </si>
  <si>
    <t>mod_bit; unknown</t>
  </si>
  <si>
    <t>+1(713)397-0316 | +1(405)642-3172 | (781)-431-2391</t>
  </si>
  <si>
    <t>Unpivot O3 phone 2 and attach its companion metadata; preserve raw.</t>
  </si>
  <si>
    <t>O3_P3_Number</t>
  </si>
  <si>
    <t>(281) 829-7667 | +1(405)282-1196 | (573)-446-0579</t>
  </si>
  <si>
    <t>Unpivot O3 phone 3 and attach its companion metadata; preserve raw.</t>
  </si>
  <si>
    <t>17704270162 | (858)-279-2336 | (417) 673-4198</t>
  </si>
  <si>
    <t>Unpivot O3 phone 4 and attach its companion metadata; preserve raw.</t>
  </si>
  <si>
    <t>O3_P4_Rating</t>
  </si>
  <si>
    <t>Praxis Database Foundation — Phase 1 Analysis</t>
  </si>
  <si>
    <t>(912)-617-0502 | (513)-474-3843 | (417) 438-9926</t>
  </si>
  <si>
    <t>Phase 1 analysis only — no merge, deduplication, correction, or production scoring applied</t>
  </si>
  <si>
    <t>APPROVAL GATE: No final merge, deduplication, correction, production scoring, or stable entity IDs have been created. Review Decisions Needed before Phase 2.</t>
  </si>
  <si>
    <t>Unpivot O3 phone 5 and attach its companion metadata; preserve raw.</t>
  </si>
  <si>
    <t>Key Metric</t>
  </si>
  <si>
    <t>Result</t>
  </si>
  <si>
    <t>Architectural Recommendation</t>
  </si>
  <si>
    <t>O3_P5_Rating</t>
  </si>
  <si>
    <t>Use properties.csv + contacts.csv + property_contact_links.csv as the minimum. Add contact_methods.csv so each phone/email keeps its own value, type, validity, score, source list, and order. Add field_value_provenance.csv for zero-loss auditability.</t>
  </si>
  <si>
    <t>O3_P12_Number</t>
  </si>
  <si>
    <t>Praxis compatibility remains unverified because no import template, API specification, or sample export was supplied. Provide it before production implementation, or explicitly approve the canonical model as an interim design.</t>
  </si>
  <si>
    <t>O3_P6_Number</t>
  </si>
  <si>
    <t>+1(913)579-4385 | (307) 679-2058 | +1(573)368-9620</t>
  </si>
  <si>
    <t>Suffix/directional property groups needing review</t>
  </si>
  <si>
    <t>Rows lacking a usable address key</t>
  </si>
  <si>
    <t>Unpivot O3 phone 6 and attach its companion metadata; preserve raw.</t>
  </si>
  <si>
    <t>Data-quality categories</t>
  </si>
  <si>
    <t>O3_P6_Type</t>
  </si>
  <si>
    <t>Key findings</t>
  </si>
  <si>
    <t>mobile | unknown | landline</t>
  </si>
  <si>
    <t>Finding</t>
  </si>
  <si>
    <t>Evidence</t>
  </si>
  <si>
    <t>Implication</t>
  </si>
  <si>
    <t>All four CSVs parsed cleanly</t>
  </si>
  <si>
    <t>31,749 data rows and 841 source columns; no malformed row shapes, duplicate headers, or unnamed columns detected.</t>
  </si>
  <si>
    <t>Structural parsing is reliable enough for staged normalization.</t>
  </si>
  <si>
    <t>Three sources share a property-address spine</t>
  </si>
  <si>
    <t>StormPull and SalesMastery have equal row counts and matching address-column structure; BatchData is a smaller enriched subset; exact overlap metrics are listed in Property Overlap.</t>
  </si>
  <si>
    <t>Property resolution should begin with source-row/address lineage, not contact matches.</t>
  </si>
  <si>
    <t>unrated | bad | unrated | unsure</t>
  </si>
  <si>
    <t>A relationship table is necessary</t>
  </si>
  <si>
    <t>Repeated contact slots permit many contacts per property, and exact identifiers recur across files/properties.</t>
  </si>
  <si>
    <t>contacts.csv cannot safely carry a single property_id; use property_contact_links.csv.</t>
  </si>
  <si>
    <t>A contact-method child table is strongly recommended</t>
  </si>
  <si>
    <t>Sources expose up to 12 phones and 17 emails per owner slot, plus multiple owner slots.</t>
  </si>
  <si>
    <t>Fixed repeated columns or JSON inside contacts.csv would be fragile and hard to score/audit.</t>
  </si>
  <si>
    <t>Batch p*_age is semantically suspect</t>
  </si>
  <si>
    <t>5,341 source rows contain ISO date-like values in age-labeled columns.</t>
  </si>
  <si>
    <t>Treat as birth_date_raw only provisionally and decide privacy/retention before use.</t>
  </si>
  <si>
    <t>O3_P6_Source</t>
  </si>
  <si>
    <t>crexi</t>
  </si>
  <si>
    <t>Praxis compatibility is unverified</t>
  </si>
  <si>
    <t>No Praxis import template, schema, API specification, or sample export was supplied.</t>
  </si>
  <si>
    <t>Approve the interim canonical model or supply the destination specification before implementation.</t>
  </si>
  <si>
    <t>O3_P7_Number</t>
  </si>
  <si>
    <t>(417) 438-7325 | +1(316)871-5980 | +1(903)334-9783</t>
  </si>
  <si>
    <t>Unpivot O3 phone 7 and attach its companion metadata; preserve raw.</t>
  </si>
  <si>
    <t>O3_P7_Type</t>
  </si>
  <si>
    <t>O3_P8_Number</t>
  </si>
  <si>
    <t>unrated | bad | unrated | good</t>
  </si>
  <si>
    <t>O3_P7_Source</t>
  </si>
  <si>
    <t>O4_P2_Number</t>
  </si>
  <si>
    <t>O4_P3_Number</t>
  </si>
  <si>
    <t>(316)-706-9329 | +1(918)296-4334 | +1(979)319-6540</t>
  </si>
  <si>
    <t>Unpivot O3 phone 8 and attach its companion metadata; preserve raw.</t>
  </si>
  <si>
    <t>O4_P4_Number</t>
  </si>
  <si>
    <t>O3_P8_Type</t>
  </si>
  <si>
    <t>mobile | unknown</t>
  </si>
  <si>
    <t>O3_P8_Rating</t>
  </si>
  <si>
    <t>O4_P5_Number</t>
  </si>
  <si>
    <t>O3_P9_Number</t>
  </si>
  <si>
    <t>+1(316)925-1898 | +1(254)445-3939 | +1(660)537-3754</t>
  </si>
  <si>
    <t>O4_P7_Number</t>
  </si>
  <si>
    <t>Unpivot O3 phone 9 and attach its companion metadata; preserve raw.</t>
  </si>
  <si>
    <t>O3_P9_Type</t>
  </si>
  <si>
    <t>O4_P8_Number</t>
  </si>
  <si>
    <t>O3_P9_Rating</t>
  </si>
  <si>
    <t>O3_P10_Number</t>
  </si>
  <si>
    <t>+1(316)880-2276 | +1(817)279-8293 | +1(660)621-2335</t>
  </si>
  <si>
    <t>Unpivot O3 phone 10 and attach its companion metadata; preserve raw.</t>
  </si>
  <si>
    <t>O3_P10_Type</t>
  </si>
  <si>
    <t>mobile</t>
  </si>
  <si>
    <t>O5_P3_Number</t>
  </si>
  <si>
    <t>O3_P10_Rating</t>
  </si>
  <si>
    <t>O5_P4_Number</t>
  </si>
  <si>
    <t>O5_P5_Number</t>
  </si>
  <si>
    <t>O3_P11_Number</t>
  </si>
  <si>
    <t>+1(817)907-9421</t>
  </si>
  <si>
    <t>Unpivot O3 phone 11 and attach its companion metadata; preserve raw.</t>
  </si>
  <si>
    <t>O5_P6_Number</t>
  </si>
  <si>
    <t>O3_P11_Type</t>
  </si>
  <si>
    <t>O3_P11_Rating</t>
  </si>
  <si>
    <t>O6_P3_Number</t>
  </si>
  <si>
    <t>7134433442</t>
  </si>
  <si>
    <t>Unpivot O3 phone 12 and attach its companion metadata; preserve raw.</t>
  </si>
  <si>
    <t>O6_P5_Number</t>
  </si>
  <si>
    <t>O3_P12_Type</t>
  </si>
  <si>
    <t>O3_P12_Rating</t>
  </si>
  <si>
    <t>O7_P2_Number</t>
  </si>
  <si>
    <t>O7_P3_Number</t>
  </si>
  <si>
    <t>david@thebookstall.com | mjekpeti@gmail.com | a.caballero@homepromortgage.net</t>
  </si>
  <si>
    <t>Unpivot O3 email 1; lowercase for exact match key only; preserve raw.</t>
  </si>
  <si>
    <t>O7_P4_Number</t>
  </si>
  <si>
    <t>O7_P5_Number</t>
  </si>
  <si>
    <t>ekpetib@tyson.com | kimberly.flower@storage-mart.com | bblades@imagesensing.com</t>
  </si>
  <si>
    <t>Unpivot O3 email 2; lowercase for exact match key only; preserve raw.</t>
  </si>
  <si>
    <t>O7_P6_Number</t>
  </si>
  <si>
    <t>basile888@msn.com | kimberlyflower@gmail.com | benjaminblades@tompkinsind.com</t>
  </si>
  <si>
    <t>Unpivot O3 email 3; lowercase for exact match key only; preserve raw.</t>
  </si>
  <si>
    <t>O7_P7_Number</t>
  </si>
  <si>
    <t>O3_E4_Email</t>
  </si>
  <si>
    <t>josieshaw@comcast.net | tigger777@collegeclub.com | willydahms151@hotmail.com</t>
  </si>
  <si>
    <t>Unpivot O3 email 4; lowercase for exact match key only; preserve raw.</t>
  </si>
  <si>
    <t>O3_E5_Email</t>
  </si>
  <si>
    <t>emsykora@hotmail.com | dennis.reid@nc.rr.com | marvin.thomas@address.com</t>
  </si>
  <si>
    <t>Unpivot O3 email 5; lowercase for exact match key only; preserve raw.</t>
  </si>
  <si>
    <t>O8_P2_Number</t>
  </si>
  <si>
    <t>O3_E6_Email</t>
  </si>
  <si>
    <t>ford@pall.com | ryan_campbell@holyhiphop.com | wiilliam@smartmicrosystems.com</t>
  </si>
  <si>
    <t>O8_P3_Number</t>
  </si>
  <si>
    <t>Unpivot O3 email 6; lowercase for exact match key only; preserve raw.</t>
  </si>
  <si>
    <t>O9_P10_Number</t>
  </si>
  <si>
    <t>O3_E7_Email</t>
  </si>
  <si>
    <t>william.boyce@cort.com</t>
  </si>
  <si>
    <t>Unpivot O3 email 7; lowercase for exact match key only; preserve raw.</t>
  </si>
  <si>
    <t>O9_P11_Number</t>
  </si>
  <si>
    <t>O3_E8_Email</t>
  </si>
  <si>
    <t>william@boycelumber.com</t>
  </si>
  <si>
    <t>O9_P1_Number</t>
  </si>
  <si>
    <t>Unpivot O3 email 8; lowercase for exact match key only; preserve raw.</t>
  </si>
  <si>
    <t>O9_P2_Number</t>
  </si>
  <si>
    <t>Zak Sharp | Dorada Poultry Llc | Autoquip Corporation</t>
  </si>
  <si>
    <t>Repeated SalesMastery owner slot O4.</t>
  </si>
  <si>
    <t>O9_P3_Number</t>
  </si>
  <si>
    <t>unknown | owner | other</t>
  </si>
  <si>
    <t>Zumbiel headquarters | Tkg-Storagemart Partners, L.P. | City Of Lenexa</t>
  </si>
  <si>
    <t>O4_Confidence</t>
  </si>
  <si>
    <t>Unverified | unverified | High</t>
  </si>
  <si>
    <t>O4_Confirmed_Owner</t>
  </si>
  <si>
    <t>O4_Is_Previous_Owner</t>
  </si>
  <si>
    <t>reonomy | batch_data | CSV Upload | reonomy</t>
  </si>
  <si>
    <t>513- | (405) 923-6040 | 9407820917</t>
  </si>
  <si>
    <t>rbene@monarchps.com | ksimcox@firstwatch.com | etangeman@swpaper.com</t>
  </si>
  <si>
    <t>(908) 793-3382 | (412) 279-1810 | (913) 575-0050</t>
  </si>
  <si>
    <t>Unpivot O4 phone 1 and attach its companion metadata; preserve raw.</t>
  </si>
  <si>
    <t>unknown | mobile | landline</t>
  </si>
  <si>
    <t>unrated | good | unsure</t>
  </si>
  <si>
    <t>(620)-244-5375 | (773)-784-2299 | (717)-475-3073</t>
  </si>
  <si>
    <t>Unpivot O4 phone 2 and attach its companion metadata; preserve raw.</t>
  </si>
  <si>
    <t>reonomy | batch_data | unreal</t>
  </si>
  <si>
    <t>(303)-833-3888 | (706)-678-2723 | (541)-855-8925</t>
  </si>
  <si>
    <t>Unpivot O4 phone 3 and attach its companion metadata; preserve raw.</t>
  </si>
  <si>
    <t>O4_P3_Rating</t>
  </si>
  <si>
    <t>O10_P2_Type</t>
  </si>
  <si>
    <t>O10_P8_Type</t>
  </si>
  <si>
    <t>(803)-438-8528 | (636) 561-3479 | (405) 946-3243</t>
  </si>
  <si>
    <t>Unpivot O4 phone 4 and attach its companion metadata; preserve raw.</t>
  </si>
  <si>
    <t>O4_P4_Type</t>
  </si>
  <si>
    <t>O11_P1_Type</t>
  </si>
  <si>
    <t>O11_P2_Type</t>
  </si>
  <si>
    <t>O12_P1_Type</t>
  </si>
  <si>
    <t>O12_P2_Type</t>
  </si>
  <si>
    <t>(405) 793-0692 | (580) 603-1010 | (405) 399-2776</t>
  </si>
  <si>
    <t>Unpivot O4 phone 5 and attach its companion metadata; preserve raw.</t>
  </si>
  <si>
    <t>O12_P3_Type</t>
  </si>
  <si>
    <t>O4_P5_Type</t>
  </si>
  <si>
    <t>O12_P4_Type</t>
  </si>
  <si>
    <t>O12_P5_Type</t>
  </si>
  <si>
    <t>O4_P5_Rating</t>
  </si>
  <si>
    <t>unrated | unsure</t>
  </si>
  <si>
    <t>O13_P1_Type</t>
  </si>
  <si>
    <t>O13_Role</t>
  </si>
  <si>
    <t>O4_P6_Number</t>
  </si>
  <si>
    <t>+1(214)808-8813 | +1(215)285-9486 | 8603341113</t>
  </si>
  <si>
    <t>O14_P1_Type</t>
  </si>
  <si>
    <t>Unpivot O4 phone 6 and attach its companion metadata; preserve raw.</t>
  </si>
  <si>
    <t>O14_Role</t>
  </si>
  <si>
    <t>O4_P6_Type</t>
  </si>
  <si>
    <t>O15_P1_Type</t>
  </si>
  <si>
    <t>O15_Role</t>
  </si>
  <si>
    <t>O4_P6_Rating</t>
  </si>
  <si>
    <t>O16_P1_Type</t>
  </si>
  <si>
    <t>O16_Role</t>
  </si>
  <si>
    <t>+1(602)821-1906 | 9362320764 | +1(832)291-1263</t>
  </si>
  <si>
    <t>O17_P1_Type</t>
  </si>
  <si>
    <t>Unpivot O4 phone 7 and attach its companion metadata; preserve raw.</t>
  </si>
  <si>
    <t>O4_P7_Type</t>
  </si>
  <si>
    <t>O17_Role</t>
  </si>
  <si>
    <t>O18_P1_Type</t>
  </si>
  <si>
    <t>O4_P7_Rating</t>
  </si>
  <si>
    <t>O18_Role</t>
  </si>
  <si>
    <t>O19_P1_Type</t>
  </si>
  <si>
    <t>O19_Role</t>
  </si>
  <si>
    <t>2673242100</t>
  </si>
  <si>
    <t>Unpivot O4 phone 8 and attach its companion metadata; preserve raw.</t>
  </si>
  <si>
    <t>O4_P8_Type</t>
  </si>
  <si>
    <t>O4_P8_Rating</t>
  </si>
  <si>
    <t>O4_P9_Number</t>
  </si>
  <si>
    <t>4073439471</t>
  </si>
  <si>
    <t>Unpivot O4 phone 9 and attach its companion metadata; preserve raw.</t>
  </si>
  <si>
    <t>O4_P9_Type</t>
  </si>
  <si>
    <t>O4_P9_Rating</t>
  </si>
  <si>
    <t>O20_P1_Type</t>
  </si>
  <si>
    <t>zak.sharp@creativeplanning.com | olander@rim.com | alberto@homepronm.com</t>
  </si>
  <si>
    <t>Unpivot O4 email 1; lowercase for exact match key only; preserve raw.</t>
  </si>
  <si>
    <t>O20_Role</t>
  </si>
  <si>
    <t>oldhome222@att.net | tim_burnam@eckartsupply.com | ellen_hanson@adp.com</t>
  </si>
  <si>
    <t>Unpivot O4 email 2; lowercase for exact match key only; preserve raw.</t>
  </si>
  <si>
    <t>rdsimon6@gmail.com | timburnam@eckart.net | ellen_hansen@ajg.com</t>
  </si>
  <si>
    <t>Unpivot O4 email 3; lowercase for exact match key only; preserve raw.</t>
  </si>
  <si>
    <t>O4_E4_Email</t>
  </si>
  <si>
    <t>gage123456g@hotmail.com | deena.ehret@filtrationgroup.com | tshannon@towerfast.com</t>
  </si>
  <si>
    <t>Unpivot O4 email 4; lowercase for exact match key only; preserve raw.</t>
  </si>
  <si>
    <t>Jay Smith | Craig Coberley | Brandon Adams</t>
  </si>
  <si>
    <t>Repeated SalesMastery owner slot O5.</t>
  </si>
  <si>
    <t>unknown | other | property_manager</t>
  </si>
  <si>
    <t>Bar-S Foods Co. | The Retail Connection | Cardinal Scale Manufacturing Company</t>
  </si>
  <si>
    <t>O5_Confidence</t>
  </si>
  <si>
    <t>Unverified | High | unverified</t>
  </si>
  <si>
    <t>O5_Confirmed_Owner</t>
  </si>
  <si>
    <t>O5_Is_Previous_Owner</t>
  </si>
  <si>
    <t>O5_Personal_Email</t>
  </si>
  <si>
    <t>becker4@sutv.com | scott.russell@cottonwoodmgmt.com | pharrington@warrendavisproperties.com</t>
  </si>
  <si>
    <t>+1 (920) 602-5324 | (580) 716-5015 | (505) 392-6939</t>
  </si>
  <si>
    <t>Unpivot O5 phone 1 and attach its companion metadata; preserve raw.</t>
  </si>
  <si>
    <t>unrated | good | bad</t>
  </si>
  <si>
    <t>reonomy | batch_data | crexi | batch_data</t>
  </si>
  <si>
    <t>(417) 766-9655 | +1(214)572-8423 | +1 (973) 715-5086</t>
  </si>
  <si>
    <t>Unpivot O5 phone 2 and attach its companion metadata; preserve raw.</t>
  </si>
  <si>
    <t>unknown | landline | mobile | unknown</t>
  </si>
  <si>
    <t>reonomy | crexi | batch_data | batch_data</t>
  </si>
  <si>
    <t>(417)-793-3209 | 14178958179 | 17136902900</t>
  </si>
  <si>
    <t>Unpivot O5 phone 3 and attach its companion metadata; preserve raw.</t>
  </si>
  <si>
    <t>O6_P2_Type</t>
  </si>
  <si>
    <t>O6_P3_Type</t>
  </si>
  <si>
    <t>(405) 514-1551 | (405) 848-5549 | (405) 427-1738</t>
  </si>
  <si>
    <t>O6_P4_Type</t>
  </si>
  <si>
    <t>Unpivot O5 phone 4 and attach its companion metadata; preserve raw.</t>
  </si>
  <si>
    <t>O6_P5_Type</t>
  </si>
  <si>
    <t>mobile | landline | unknown | landline</t>
  </si>
  <si>
    <t>O5_P4_Rating</t>
  </si>
  <si>
    <t>O7_P2_Type</t>
  </si>
  <si>
    <t>crexi | batch_data | batch_data | crexi</t>
  </si>
  <si>
    <t>O7_P3_Type</t>
  </si>
  <si>
    <t>(405) 417-0900 | (405) 848-5548 | (580) 307-4676</t>
  </si>
  <si>
    <t>Unpivot O5 phone 5 and attach its companion metadata; preserve raw.</t>
  </si>
  <si>
    <t>mobile | landline | unknown | mobile</t>
  </si>
  <si>
    <t>O8_P2_Type</t>
  </si>
  <si>
    <t>O8_P3_Type</t>
  </si>
  <si>
    <t>O5_P5_Rating</t>
  </si>
  <si>
    <t>O9_P2_Type</t>
  </si>
  <si>
    <t>5736941513 | +1(972)998-5317 | +1(972)727-8402</t>
  </si>
  <si>
    <t>Unpivot O5 phone 6 and attach its companion metadata; preserve raw.</t>
  </si>
  <si>
    <t>O9_P3_Type</t>
  </si>
  <si>
    <t>O5_P6_Type</t>
  </si>
  <si>
    <t>O9_P4_Type</t>
  </si>
  <si>
    <t>O9_P5_Type</t>
  </si>
  <si>
    <t>O5_P6_Rating</t>
  </si>
  <si>
    <t>O9_P6_Type</t>
  </si>
  <si>
    <t>O5_P7_Number</t>
  </si>
  <si>
    <t>O9_P7_Type</t>
  </si>
  <si>
    <t>3142930622 | +1(972)679-3519</t>
  </si>
  <si>
    <t>Unpivot O5 phone 7 and attach its companion metadata; preserve raw.</t>
  </si>
  <si>
    <t>O9_P8_Type</t>
  </si>
  <si>
    <t>O5_P7_Type</t>
  </si>
  <si>
    <t>O9_P9_Type</t>
  </si>
  <si>
    <t>O5_P7_Rating</t>
  </si>
  <si>
    <t>O5_P8_Number</t>
  </si>
  <si>
    <t>+1(972)467-2856</t>
  </si>
  <si>
    <t>Unpivot O5 phone 8 and attach its companion metadata; preserve raw.</t>
  </si>
  <si>
    <t>O5_P8_Type</t>
  </si>
  <si>
    <t>O5_P8_Rating</t>
  </si>
  <si>
    <t>hail_date</t>
  </si>
  <si>
    <t>jay@centuryproductsusa.com | ccoberley@georgesinc.com | a.caballero@entrenchinc.com</t>
  </si>
  <si>
    <t>Unpivot O5 email 1; lowercase for exact match key only; preserve raw.</t>
  </si>
  <si>
    <t>roof_type</t>
  </si>
  <si>
    <t>b.brenk@att.net | jhellman@stanfordmed.org | marion.perry@cardet.com</t>
  </si>
  <si>
    <t>Unpivot O5 email 2; lowercase for exact match key only; preserve raw.</t>
  </si>
  <si>
    <t>bperry@cardet.com | tdanielle22@hotmail.com | w.whitif@bronzefactory.com</t>
  </si>
  <si>
    <t>Unpivot O5 email 3; lowercase for exact match key only; preserve raw.</t>
  </si>
  <si>
    <t>O5_E4_Email</t>
  </si>
  <si>
    <t>williasc@pwcs.edu | smathrani@nareit.com | williamsj@tristareventmedia.com</t>
  </si>
  <si>
    <t>Unpivot O5 email 4; lowercase for exact match key only; preserve raw.</t>
  </si>
  <si>
    <t>Trysen Willits | Jeff Olander | Salvatore Marsalla</t>
  </si>
  <si>
    <t>Repeated SalesMastery owner slot O6.</t>
  </si>
  <si>
    <t>Village Square Investments, Llc | Realty Income Corporation | First Baptist Church Of West Hollywood</t>
  </si>
  <si>
    <t>O6_Confidence</t>
  </si>
  <si>
    <t>O10_E2_Email</t>
  </si>
  <si>
    <t>O10_E3_Email</t>
  </si>
  <si>
    <t>O6_Confirmed_Owner</t>
  </si>
  <si>
    <t>O10_E4_Email</t>
  </si>
  <si>
    <t>O6_Is_Previous_Owner</t>
  </si>
  <si>
    <t>O10_P2_Rating</t>
  </si>
  <si>
    <t>reonomy | CSV Upload | batch_data</t>
  </si>
  <si>
    <t>O10_P2_Source</t>
  </si>
  <si>
    <t>O6_Personal_Email</t>
  </si>
  <si>
    <t>kennedyc@newschool.edu | kimk@brownstornerg.com | virdenag@gmail.com</t>
  </si>
  <si>
    <t>O10_P3_Number</t>
  </si>
  <si>
    <t>+1 (262) 820-3600 | +1 (651) 213-3318 | (731) 616-6804</t>
  </si>
  <si>
    <t>Unpivot O6 phone 1 and attach its companion metadata; preserve raw.</t>
  </si>
  <si>
    <t>O10_P3_Rating</t>
  </si>
  <si>
    <t>O10_P3_Type</t>
  </si>
  <si>
    <t>O10_P4_Number</t>
  </si>
  <si>
    <t>unrated | bad | unrated | bad</t>
  </si>
  <si>
    <t>O10_P5_Number</t>
  </si>
  <si>
    <t>(715) 874-6549 | +1(954)260-2923 | (580) 716-9150</t>
  </si>
  <si>
    <t>Unpivot O6 phone 2 and attach its companion metadata; preserve raw.</t>
  </si>
  <si>
    <t>O10_P5_Rating</t>
  </si>
  <si>
    <t>O10_P5_Type</t>
  </si>
  <si>
    <t>O6_P2_Rating</t>
  </si>
  <si>
    <t>O10_P6_Number</t>
  </si>
  <si>
    <t>O10_P6_Rating</t>
  </si>
  <si>
    <t>O6_P2_Source</t>
  </si>
  <si>
    <t>O10_P6_Type</t>
  </si>
  <si>
    <t>(239) 283-2797 | (417) 848-5750 | (405) 473-4974</t>
  </si>
  <si>
    <t>O10_P7_Number</t>
  </si>
  <si>
    <t>Unpivot O6 phone 3 and attach its companion metadata; preserve raw.</t>
  </si>
  <si>
    <t>O10_P7_Rating</t>
  </si>
  <si>
    <t>O10_P7_Type</t>
  </si>
  <si>
    <t>O10_P8_Number</t>
  </si>
  <si>
    <t>O6_P3_Rating</t>
  </si>
  <si>
    <t>O10_P8_Rating</t>
  </si>
  <si>
    <t>O6_P3_Source</t>
  </si>
  <si>
    <t>batch_data | reonomy</t>
  </si>
  <si>
    <t>O10_Personal_Email</t>
  </si>
  <si>
    <t>O6_P4_Number</t>
  </si>
  <si>
    <t>(248) 891-4111 | +1(817)292-9598 | +1(316)461-0031</t>
  </si>
  <si>
    <t>O11_Company</t>
  </si>
  <si>
    <t>Unpivot O6 phone 4 and attach its companion metadata; preserve raw.</t>
  </si>
  <si>
    <t>O11_E2_Email</t>
  </si>
  <si>
    <t>O11_E3_Email</t>
  </si>
  <si>
    <t>O6_P4_Rating</t>
  </si>
  <si>
    <t>O11_E4_Email</t>
  </si>
  <si>
    <t>O11_E5_Email</t>
  </si>
  <si>
    <t>O6_P4_Source</t>
  </si>
  <si>
    <t>O11_E6_Email</t>
  </si>
  <si>
    <t>(248) 891-1411 | +1(316)461-0030 | 6062193181</t>
  </si>
  <si>
    <t>O11_E7_Email</t>
  </si>
  <si>
    <t>Unpivot O6 phone 5 and attach its companion metadata; preserve raw.</t>
  </si>
  <si>
    <t>O11_P2_Rating</t>
  </si>
  <si>
    <t>O6_P5_Rating</t>
  </si>
  <si>
    <t>O11_P2_Source</t>
  </si>
  <si>
    <t>O6_P5_Source</t>
  </si>
  <si>
    <t>O11_P3_Rating</t>
  </si>
  <si>
    <t>macmaster195@gmail.com | jolander@rim.net | smarsalla@netzero.net</t>
  </si>
  <si>
    <t>Unpivot O6 email 1; lowercase for exact match key only; preserve raw.</t>
  </si>
  <si>
    <t>O11_P3_Source</t>
  </si>
  <si>
    <t>O6_E2_Email</t>
  </si>
  <si>
    <t>ksahm@daigger.com | mjhfab@sbcglobal.net | edward.lewis@blackstone.com</t>
  </si>
  <si>
    <t>O11_P3_Type</t>
  </si>
  <si>
    <t>Unpivot O6 email 2; lowercase for exact match key only; preserve raw.</t>
  </si>
  <si>
    <t>O6_E3_Email</t>
  </si>
  <si>
    <t>kristinemorrissey@yahoo.com | josh-24@mail.com | mary_widic@bowlingparty.com</t>
  </si>
  <si>
    <t>Unpivot O6 email 3; lowercase for exact match key only; preserve raw.</t>
  </si>
  <si>
    <t>O11_P4_Rating</t>
  </si>
  <si>
    <t>O6_E4_Email</t>
  </si>
  <si>
    <t>lawndogs1966@gmail.com | mwidic@yahoo.com | crystalb@aemf.org</t>
  </si>
  <si>
    <t>Unpivot O6 email 4; lowercase for exact match key only; preserve raw.</t>
  </si>
  <si>
    <t>O11_P4_Source</t>
  </si>
  <si>
    <t>James Bielawa | Doug Konarik | Professional Service And Construction Co.</t>
  </si>
  <si>
    <t>O11_P4_Type</t>
  </si>
  <si>
    <t>Repeated SalesMastery owner slot O7.</t>
  </si>
  <si>
    <t>O11_Personal_Email</t>
  </si>
  <si>
    <t>unknown | property_manager | other</t>
  </si>
  <si>
    <t>O11_Personal_Phone</t>
  </si>
  <si>
    <t>O12_Company</t>
  </si>
  <si>
    <t>O7_Company</t>
  </si>
  <si>
    <t>ICS Construction Services, Ltd. | WICHITA FALLS FAITH MISSION, INC. | THE PRENTICE-HALL CORPORATION SYSTEM, INC.</t>
  </si>
  <si>
    <t>O12_Confidence</t>
  </si>
  <si>
    <t>O12_Confirmed_Owner</t>
  </si>
  <si>
    <t>O7_Confidence</t>
  </si>
  <si>
    <t>O12_E1_Email</t>
  </si>
  <si>
    <t>O7_Confirmed_Owner</t>
  </si>
  <si>
    <t>O12_E2_Email</t>
  </si>
  <si>
    <t>O12_E3_Email</t>
  </si>
  <si>
    <t>O7_Is_Previous_Owner</t>
  </si>
  <si>
    <t>O12_E4_Email</t>
  </si>
  <si>
    <t>reonomy | batch_data | RM Property Search</t>
  </si>
  <si>
    <t>O12_Is_Previous_Owner</t>
  </si>
  <si>
    <t>O7_Personal_Email</t>
  </si>
  <si>
    <t>ksstewart07@yahoo.com | joshua.hampel@hampeloil.com</t>
  </si>
  <si>
    <t>(847) 455-7800 | (412) 279-1810 | +1 (512) 459-6503</t>
  </si>
  <si>
    <t>O12_P1_Rating</t>
  </si>
  <si>
    <t>Unpivot O7 phone 1 and attach its companion metadata; preserve raw.</t>
  </si>
  <si>
    <t>O12_P1_Source</t>
  </si>
  <si>
    <t>O7_P1_Rating</t>
  </si>
  <si>
    <t>O12_P2_Rating</t>
  </si>
  <si>
    <t>O7_P1_Source</t>
  </si>
  <si>
    <t>+1 (815) 363-9564 | (314) 739-0404 | +1 (727) 364-9257</t>
  </si>
  <si>
    <t>Unpivot O7 phone 2 and attach its companion metadata; preserve raw.</t>
  </si>
  <si>
    <t>O12_P3_Rating</t>
  </si>
  <si>
    <t>unknown | mobile | Mobile</t>
  </si>
  <si>
    <t>O7_P2_Rating</t>
  </si>
  <si>
    <t>O12_P4_Rating</t>
  </si>
  <si>
    <t>O7_P2_Source</t>
  </si>
  <si>
    <t>+1 (678) 334-1576 | (702) 292-1423 | +1(214)499-6445</t>
  </si>
  <si>
    <t>Unpivot O7 phone 3 and attach its companion metadata; preserve raw.</t>
  </si>
  <si>
    <t>O12_P5_Rating</t>
  </si>
  <si>
    <t>mobile | unknown | Mobile</t>
  </si>
  <si>
    <t>O7_P3_Rating</t>
  </si>
  <si>
    <t>O12_Personal_Email</t>
  </si>
  <si>
    <t>O7_P3_Source</t>
  </si>
  <si>
    <t>O12_Sources</t>
  </si>
  <si>
    <t>O13_Company</t>
  </si>
  <si>
    <t>+1(516)448-9806 | +1(830)837-0000 | +1(308)641-4166</t>
  </si>
  <si>
    <t>Unpivot O7 phone 4 and attach its companion metadata; preserve raw.</t>
  </si>
  <si>
    <t>O13_Confidence</t>
  </si>
  <si>
    <t>O7_P4_Type</t>
  </si>
  <si>
    <t>O13_Confirmed_Owner</t>
  </si>
  <si>
    <t>O13_E1_Email</t>
  </si>
  <si>
    <t>O13_E2_Email</t>
  </si>
  <si>
    <t>O7_P4_Rating</t>
  </si>
  <si>
    <t>O13_E3_Email</t>
  </si>
  <si>
    <t>O13_E4_Email</t>
  </si>
  <si>
    <t>O7_P4_Source</t>
  </si>
  <si>
    <t>O13_Is_Previous_Owner</t>
  </si>
  <si>
    <t>+1(817)821-7571 | +1(817)988-7556 | +1(713)256-2424</t>
  </si>
  <si>
    <t>O13_P1_Rating</t>
  </si>
  <si>
    <t>Unpivot O7 phone 5 and attach its companion metadata; preserve raw.</t>
  </si>
  <si>
    <t>O13_P1_Source</t>
  </si>
  <si>
    <t>O7_P5_Type</t>
  </si>
  <si>
    <t>O13_P2_Number</t>
  </si>
  <si>
    <t>O7_P5_Rating</t>
  </si>
  <si>
    <t>O13_P2_Rating</t>
  </si>
  <si>
    <t>O13_P2_Type</t>
  </si>
  <si>
    <t>O7_P5_Source</t>
  </si>
  <si>
    <t>O13_P3_Number</t>
  </si>
  <si>
    <t>O13_P3_Rating</t>
  </si>
  <si>
    <t>O13_P3_Type</t>
  </si>
  <si>
    <t>+1(817)366-4503 | +1(214)912-4473 | 9202423252</t>
  </si>
  <si>
    <t>O13_Personal_Email</t>
  </si>
  <si>
    <t>Unpivot O7 phone 6 and attach its companion metadata; preserve raw.</t>
  </si>
  <si>
    <t>O7_P6_Type</t>
  </si>
  <si>
    <t>O13_Sources</t>
  </si>
  <si>
    <t>O14_Company</t>
  </si>
  <si>
    <t>O7_P6_Rating</t>
  </si>
  <si>
    <t>O14_Confidence</t>
  </si>
  <si>
    <t>O14_Confirmed_Owner</t>
  </si>
  <si>
    <t>+1(214)981-4312 | 9209152742 | 2818270423</t>
  </si>
  <si>
    <t>O14_E1_Email</t>
  </si>
  <si>
    <t>Unpivot O7 phone 7 and attach its companion metadata; preserve raw.</t>
  </si>
  <si>
    <t>O7_P7_Type</t>
  </si>
  <si>
    <t>O14_E2_Email</t>
  </si>
  <si>
    <t>O14_E3_Email</t>
  </si>
  <si>
    <t>O7_P7_Rating</t>
  </si>
  <si>
    <t>O14_E4_Email</t>
  </si>
  <si>
    <t>O14_Is_Previous_Owner</t>
  </si>
  <si>
    <t>O7_P8_Number</t>
  </si>
  <si>
    <t>+1(276)236-9128</t>
  </si>
  <si>
    <t>Unpivot O7 phone 8 and attach its companion metadata; preserve raw.</t>
  </si>
  <si>
    <t>O7_P8_Type</t>
  </si>
  <si>
    <t>O14_P1_Rating</t>
  </si>
  <si>
    <t>O7_P8_Rating</t>
  </si>
  <si>
    <t>O14_P1_Source</t>
  </si>
  <si>
    <t>O7_P9_Number</t>
  </si>
  <si>
    <t>+1(276)238-0043</t>
  </si>
  <si>
    <t>Unpivot O7 phone 9 and attach its companion metadata; preserve raw.</t>
  </si>
  <si>
    <t>O14_P2_Rating</t>
  </si>
  <si>
    <t>O7_P9_Type</t>
  </si>
  <si>
    <t>O14_P2_Type</t>
  </si>
  <si>
    <t>O7_P9_Rating</t>
  </si>
  <si>
    <t>O14_P3_Rating</t>
  </si>
  <si>
    <t>O7_P10_Number</t>
  </si>
  <si>
    <t>+1(618)980-2567</t>
  </si>
  <si>
    <t>O14_P3_Type</t>
  </si>
  <si>
    <t>Unpivot O7 phone 10 and attach its companion metadata; preserve raw.</t>
  </si>
  <si>
    <t>O7_P10_Type</t>
  </si>
  <si>
    <t>O14_Sources</t>
  </si>
  <si>
    <t>O15_Confidence</t>
  </si>
  <si>
    <t>O7_P10_Rating</t>
  </si>
  <si>
    <t>O15_Confirmed_Owner</t>
  </si>
  <si>
    <t>O15_E1_Email</t>
  </si>
  <si>
    <t>david.ambroz@lacity.org | olander@rim.com | ktucker@communitymattersinc.com</t>
  </si>
  <si>
    <t>Unpivot O7 email 1; lowercase for exact match key only; preserve raw.</t>
  </si>
  <si>
    <t>O15_E2_Email</t>
  </si>
  <si>
    <t>O15_Is_Previous_Owner</t>
  </si>
  <si>
    <t>ellen.walsh@alticeusa.com | mfranklin@ferromc.com | sfreitag@navysealfoundation.org</t>
  </si>
  <si>
    <t>Unpivot O7 email 2; lowercase for exact match key only; preserve raw.</t>
  </si>
  <si>
    <t>O15_Name</t>
  </si>
  <si>
    <t>collinself@jonellsystems.com | perlman.alberto@zumba.com | ramsey@bottleking.com</t>
  </si>
  <si>
    <t>Unpivot O7 email 3; lowercase for exact match key only; preserve raw.</t>
  </si>
  <si>
    <t>O15_P1_Number</t>
  </si>
  <si>
    <t>O7_E4_Email</t>
  </si>
  <si>
    <t>cself@knapheide.com | perlman@zumba.com | rfreeman@northshore.org</t>
  </si>
  <si>
    <t>O15_P1_Rating</t>
  </si>
  <si>
    <t>Unpivot O7 email 4; lowercase for exact match key only; preserve raw.</t>
  </si>
  <si>
    <t>O15_P1_Source</t>
  </si>
  <si>
    <t>Century Products Properties Llc | Beverly Edgemon | David Kurlin</t>
  </si>
  <si>
    <t>Repeated SalesMastery owner slot O8.</t>
  </si>
  <si>
    <t>O15_P2_Number</t>
  </si>
  <si>
    <t>unknown | unknown | owner | other</t>
  </si>
  <si>
    <t>O15_P2_Rating</t>
  </si>
  <si>
    <t>O15_P2_Type</t>
  </si>
  <si>
    <t>USF PROPCO II LLC | G &amp; M Properties | MCALESTER HOSPITALITY INC</t>
  </si>
  <si>
    <t>O8_Confidence</t>
  </si>
  <si>
    <t>O15_Sources</t>
  </si>
  <si>
    <t>O16_Confidence</t>
  </si>
  <si>
    <t>O8_Confirmed_Owner</t>
  </si>
  <si>
    <t>O16_Confirmed_Owner</t>
  </si>
  <si>
    <t>O8_Is_Previous_Owner</t>
  </si>
  <si>
    <t>O16_E1_Email</t>
  </si>
  <si>
    <t>O16_Is_Previous_Owner</t>
  </si>
  <si>
    <t>reonomy | batch_data | reonomy | batch_data</t>
  </si>
  <si>
    <t>O16_Name</t>
  </si>
  <si>
    <t>+1 (918) 793-3382 | (580) 491-2620 | (918) 264-2825</t>
  </si>
  <si>
    <t>Unpivot O8 phone 1 and attach its companion metadata; preserve raw.</t>
  </si>
  <si>
    <t>O16_P1_Number</t>
  </si>
  <si>
    <t>O16_P1_Rating</t>
  </si>
  <si>
    <t>O8_P1_Rating</t>
  </si>
  <si>
    <t>O16_P1_Source</t>
  </si>
  <si>
    <t>O8_P1_Source</t>
  </si>
  <si>
    <t>(832) 947-5095 | (308) 470-1139 | (415) 801-5979</t>
  </si>
  <si>
    <t>Unpivot O8 phone 2 and attach its companion metadata; preserve raw.</t>
  </si>
  <si>
    <t>O16_Sources</t>
  </si>
  <si>
    <t>unknown | mobile</t>
  </si>
  <si>
    <t>O17_Confidence</t>
  </si>
  <si>
    <t>O8_P2_Rating</t>
  </si>
  <si>
    <t>O17_Confirmed_Owner</t>
  </si>
  <si>
    <t>O17_E1_Email</t>
  </si>
  <si>
    <t>O8_P2_Source</t>
  </si>
  <si>
    <t>reonomy</t>
  </si>
  <si>
    <t>O17_E2_Email</t>
  </si>
  <si>
    <t>O17_Is_Previous_Owner</t>
  </si>
  <si>
    <t>(832) 922-5678 | +1(940)256-0108 | +1(915)203-4058</t>
  </si>
  <si>
    <t>Unpivot O8 phone 3 and attach its companion metadata; preserve raw.</t>
  </si>
  <si>
    <t>O17_Name</t>
  </si>
  <si>
    <t>O17_P1_Number</t>
  </si>
  <si>
    <t>O17_P1_Rating</t>
  </si>
  <si>
    <t>O8_P3_Rating</t>
  </si>
  <si>
    <t>O17_P1_Source</t>
  </si>
  <si>
    <t>O8_P3_Source</t>
  </si>
  <si>
    <t>O8_P4_Number</t>
  </si>
  <si>
    <t>+1(915)799-2364 | +1(352)207-4645 | +1(210)946-4518</t>
  </si>
  <si>
    <t>O17_Sources</t>
  </si>
  <si>
    <t>Unpivot O8 phone 4 and attach its companion metadata; preserve raw.</t>
  </si>
  <si>
    <t>O18_Confidence</t>
  </si>
  <si>
    <t>O8_P4_Type</t>
  </si>
  <si>
    <t>O18_Confirmed_Owner</t>
  </si>
  <si>
    <t>O18_E1_Email</t>
  </si>
  <si>
    <t>O8_P4_Rating</t>
  </si>
  <si>
    <t>O18_Is_Previous_Owner</t>
  </si>
  <si>
    <t>O8_P5_Number</t>
  </si>
  <si>
    <t>+1(832)577-1158 | +1(713)409-7446</t>
  </si>
  <si>
    <t>O18_Name</t>
  </si>
  <si>
    <t>Unpivot O8 phone 5 and attach its companion metadata; preserve raw.</t>
  </si>
  <si>
    <t>O18_P1_Number</t>
  </si>
  <si>
    <t>O8_P5_Type</t>
  </si>
  <si>
    <t>O18_P1_Rating</t>
  </si>
  <si>
    <t>O8_P5_Rating</t>
  </si>
  <si>
    <t>O18_P1_Source</t>
  </si>
  <si>
    <t>rmbielawa@yahoo.com | bedgemon@burrelles.com | professionalconstructiondave@juno.com</t>
  </si>
  <si>
    <t>Unpivot O8 email 1; lowercase for exact match key only; preserve raw.</t>
  </si>
  <si>
    <t>O8_E2_Email</t>
  </si>
  <si>
    <t>sahm@colfax.k12.wi.us | ppitcher@loenbro.com | alicia_halphen@yahoo.com</t>
  </si>
  <si>
    <t>O18_Sources</t>
  </si>
  <si>
    <t>Unpivot O8 email 2; lowercase for exact match key only; preserve raw.</t>
  </si>
  <si>
    <t>O19_Confidence</t>
  </si>
  <si>
    <t>O8_E3_Email</t>
  </si>
  <si>
    <t>amine@yahoo.com | heritagelanes@sbcglobal.net | ulyssesgrace@aol.com</t>
  </si>
  <si>
    <t>Unpivot O8 email 3; lowercase for exact match key only; preserve raw.</t>
  </si>
  <si>
    <t>O19_Confirmed_Owner</t>
  </si>
  <si>
    <t>O8_E4_Email</t>
  </si>
  <si>
    <t>O19_E1_Email</t>
  </si>
  <si>
    <t>myangel0108@hotmail.com | mike@triadbusinessgroup.com | umwash@sbcglobal.net</t>
  </si>
  <si>
    <t>Unpivot O8 email 4; lowercase for exact match key only; preserve raw.</t>
  </si>
  <si>
    <t>O19_Is_Previous_Owner</t>
  </si>
  <si>
    <t>Renee Bielawa | Jeff Johnson | Darwin Ruiz</t>
  </si>
  <si>
    <t>O19_Name</t>
  </si>
  <si>
    <t>Repeated SalesMastery owner slot O9.</t>
  </si>
  <si>
    <t>O19_P1_Number</t>
  </si>
  <si>
    <t>O19_P1_Rating</t>
  </si>
  <si>
    <t>O9_Confidence</t>
  </si>
  <si>
    <t>O19_P1_Source</t>
  </si>
  <si>
    <t>O9_Confirmed_Owner</t>
  </si>
  <si>
    <t>O9_Is_Previous_Owner</t>
  </si>
  <si>
    <t>O19_Sources</t>
  </si>
  <si>
    <t>O9_Sources</t>
  </si>
  <si>
    <t>O9_Personal_Phone</t>
  </si>
  <si>
    <t>(713) 444-0000</t>
  </si>
  <si>
    <t>O9_Personal_Email</t>
  </si>
  <si>
    <t>kevin.colburn@bellsouth.net | redravenkp@yahoo.com</t>
  </si>
  <si>
    <t>(580) 304-4079 | (402) 563-4567 | (503) 985-3124</t>
  </si>
  <si>
    <t>Unpivot O9 phone 1 and attach its companion metadata; preserve raw.</t>
  </si>
  <si>
    <t>O9_P1_Rating</t>
  </si>
  <si>
    <t>O9_P1_Source</t>
  </si>
  <si>
    <t>(580) 994-2354 | +1 (510) 547-1299 | +1(417)850-2138</t>
  </si>
  <si>
    <t>Unpivot O9 phone 2 and attach its companion metadata; preserve raw.</t>
  </si>
  <si>
    <t>O9_P2_Rating</t>
  </si>
  <si>
    <t>O9_P2_Source</t>
  </si>
  <si>
    <t>+1(417)499-0144 | (254) 624-5334 | +1(214)724-0907</t>
  </si>
  <si>
    <t>Unpivot O9 phone 3 and attach its companion metadata; preserve raw.</t>
  </si>
  <si>
    <t>unrated | unrated | good</t>
  </si>
  <si>
    <t>O9_P3_Source</t>
  </si>
  <si>
    <t>O9_P4_Number</t>
  </si>
  <si>
    <t>+1(915)478-7002 | +1(614)595-2046 | +1(515)208-6005</t>
  </si>
  <si>
    <t>Unpivot O9 phone 4 and attach its companion metadata; preserve raw.</t>
  </si>
  <si>
    <t>O9_P4_Rating</t>
  </si>
  <si>
    <t>O9_P5_Number</t>
  </si>
  <si>
    <t>+1(817)614-6144 | +1(985)519-1168 | +1(214)473-6891</t>
  </si>
  <si>
    <t>Unpivot O9 phone 5 and attach its companion metadata; preserve raw.</t>
  </si>
  <si>
    <t>O9_P5_Rating</t>
  </si>
  <si>
    <t>O9_P6_Number</t>
  </si>
  <si>
    <t>+1(662)739-9807 | +1(515)212-9639 | +1(316)612-3469</t>
  </si>
  <si>
    <t>Unpivot O9 phone 6 and attach its companion metadata; preserve raw.</t>
  </si>
  <si>
    <t>O9_P6_Rating</t>
  </si>
  <si>
    <t>O20_Confidence</t>
  </si>
  <si>
    <t>O20_Confirmed_Owner</t>
  </si>
  <si>
    <t>O9_P7_Number</t>
  </si>
  <si>
    <t>+1(281)734-5728 | +1(316)648-9747</t>
  </si>
  <si>
    <t>Unpivot O9 phone 7 and attach its companion metadata; preserve raw.</t>
  </si>
  <si>
    <t>O20_E1_Email</t>
  </si>
  <si>
    <t>O20_Is_Previous_Owner</t>
  </si>
  <si>
    <t>O9_P7_Rating</t>
  </si>
  <si>
    <t>O20_P1_Number</t>
  </si>
  <si>
    <t>O9_P8_Number</t>
  </si>
  <si>
    <t>+1(515)208-8600 | +1(316)613-1146</t>
  </si>
  <si>
    <t>O20_P1_Rating</t>
  </si>
  <si>
    <t>Unpivot O9 phone 8 and attach its companion metadata; preserve raw.</t>
  </si>
  <si>
    <t>O9_P8_Rating</t>
  </si>
  <si>
    <t>O9_P9_Number</t>
  </si>
  <si>
    <t>+1(214)417-1496</t>
  </si>
  <si>
    <t>Unpivot O9 phone 9 and attach its companion metadata; preserve raw.</t>
  </si>
  <si>
    <t>O9_P9_Rating</t>
  </si>
  <si>
    <t>3093707689</t>
  </si>
  <si>
    <t>Unpivot O9 phone 10 and attach its companion metadata; preserve raw.</t>
  </si>
  <si>
    <t>O9_P10_Type</t>
  </si>
  <si>
    <t>O9_P10_Rating</t>
  </si>
  <si>
    <t>8582775817</t>
  </si>
  <si>
    <t>Unpivot O9 phone 11 and attach its companion metadata; preserve raw.</t>
  </si>
  <si>
    <t>O9_P11_Type</t>
  </si>
  <si>
    <t>O9_P11_Rating</t>
  </si>
  <si>
    <t>renee.bielawa@cbpnow.com | meckholt@lopezdorada.com | joselynnefabiola@yahoo.com</t>
  </si>
  <si>
    <t>Unpivot O9 email 1; lowercase for exact match key only; preserve raw.</t>
  </si>
  <si>
    <t>O9_E2_Email</t>
  </si>
  <si>
    <t>kimberleeschnoebelen@yahoo.com | federico.murtagh@encoreglobal.com | tyler.besaw@wisconsin.edu</t>
  </si>
  <si>
    <t>Unpivot O9 email 2; lowercase for exact match key only; preserve raw.</t>
  </si>
  <si>
    <t>O9_E3_Email</t>
  </si>
  <si>
    <t>cnewton@ball.com | todd@cmwelding.com</t>
  </si>
  <si>
    <t>Unpivot O9 email 3; lowercase for exact match key only; preserve raw.</t>
  </si>
  <si>
    <t>O9_E4_Email</t>
  </si>
  <si>
    <t>customerservice@educatorsdepot.com | todd@ihpindustrial.com</t>
  </si>
  <si>
    <t>Unpivot O9 email 4; lowercase for exact match key only; preserve raw.</t>
  </si>
  <si>
    <t>Marci Ballard | Mark Ingram | Juanita Gilbert</t>
  </si>
  <si>
    <t>Repeated SalesMastery owner slot O10.</t>
  </si>
  <si>
    <t>unknown | facilities_manager | owner</t>
  </si>
  <si>
    <t>Dawson County Senior Center | BEN E. KEITH COMPANY</t>
  </si>
  <si>
    <t>O10_Confidence</t>
  </si>
  <si>
    <t>O10_Confirmed_Owner</t>
  </si>
  <si>
    <t>O10_Is_Previous_Owner</t>
  </si>
  <si>
    <t>O10_Sources</t>
  </si>
  <si>
    <t>reonomy | CSV Upload | RM Property Search</t>
  </si>
  <si>
    <t>+1 (414) 350-3801 | +1 (417) 229-7611 | (513) 847-0804</t>
  </si>
  <si>
    <t>Unpivot O10 phone 1 and attach its companion metadata; preserve raw.</t>
  </si>
  <si>
    <t>O10_P1_Rating</t>
  </si>
  <si>
    <t>O10_P1_Source</t>
  </si>
  <si>
    <t>(940) 825-5096 | (631) 324-3488 | +1 (920) 362-9497</t>
  </si>
  <si>
    <t>Unpivot O10 phone 2 and attach its companion metadata; preserve raw.</t>
  </si>
  <si>
    <t>+1(239)200-9625 | +1(843)468-7531 | +1(385)333-9192</t>
  </si>
  <si>
    <t>Unpivot O10 phone 3 and attach its companion metadata; preserve raw.</t>
  </si>
  <si>
    <t>mobile | Mobile</t>
  </si>
  <si>
    <t>+1(843)861-1740 | +1(512)217-3794 | +1(830)377-8788</t>
  </si>
  <si>
    <t>Unpivot O10 phone 4 and attach its companion metadata; preserve raw.</t>
  </si>
  <si>
    <t>mobile | mobile | landline | Mobile</t>
  </si>
  <si>
    <t>+1(210)392-4426 | +1(260)417-5938</t>
  </si>
  <si>
    <t>Unpivot O10 phone 5 and attach its companion metadata; preserve raw.</t>
  </si>
  <si>
    <t>+1(503)784-5311</t>
  </si>
  <si>
    <t>Unpivot O10 phone 6 and attach its companion metadata; preserve raw.</t>
  </si>
  <si>
    <t>+1(830)896-0114</t>
  </si>
  <si>
    <t>Unpivot O10 phone 7 and attach its companion metadata; preserve raw.</t>
  </si>
  <si>
    <t>good</t>
  </si>
  <si>
    <t>+1(830)895-2444</t>
  </si>
  <si>
    <t>Unpivot O10 phone 8 and attach its companion metadata; preserve raw.</t>
  </si>
  <si>
    <t>jbielawa@cbpnow.com | craig.coberley@tyson.com | gilbert.wanda@gmail.com</t>
  </si>
  <si>
    <t>Unpivot O10 email 1; lowercase for exact match key only; preserve raw.</t>
  </si>
  <si>
    <t>sean@starfighters.net | marco@ndia.org | mona.kunselman@neinazarene.org</t>
  </si>
  <si>
    <t>Unpivot O10 email 2; lowercase for exact match key only; preserve raw.</t>
  </si>
  <si>
    <t>mona@cornerstonecommunitynn.com | sri@cmwelding.com</t>
  </si>
  <si>
    <t>Unpivot O10 email 3; lowercase for exact match key only; preserve raw.</t>
  </si>
  <si>
    <t>mona@icnazarene.com | sriramachandran@qualcomm.com</t>
  </si>
  <si>
    <t>Unpivot O10 email 4; lowercase for exact match key only; preserve raw.</t>
  </si>
  <si>
    <t>Ethan Houk | Michael Keifenheim | David Gilbert</t>
  </si>
  <si>
    <t>Repeated SalesMastery owner slot O11.</t>
  </si>
  <si>
    <t>MPT OF BIG SPRING-STEWARD LLC | Fairway Baptist Church | MURFIN, INC.</t>
  </si>
  <si>
    <t>O11_Confidence</t>
  </si>
  <si>
    <t>O11_Confirmed_Owner</t>
  </si>
  <si>
    <t>O11_Is_Previous_Owner</t>
  </si>
  <si>
    <t>reonomy | reonomy | CSV Upload | batch_data</t>
  </si>
  <si>
    <t>(432) 213-2263</t>
  </si>
  <si>
    <t>jthomas@corservsolutions.com</t>
  </si>
  <si>
    <t>(802) 228-3785 | +1 (580) 823-0547 | (973) 275-6314</t>
  </si>
  <si>
    <t>Unpivot O11 phone 1 and attach its companion metadata; preserve raw.</t>
  </si>
  <si>
    <t>O11_P1_Source</t>
  </si>
  <si>
    <t>+1(334)808-8481 | +1(715)497-2266 | (704) 919-1959</t>
  </si>
  <si>
    <t>Unpivot O11 phone 2 and attach its companion metadata; preserve raw.</t>
  </si>
  <si>
    <t>(203) 775-6700 | (704) 510-9176 | (830) 232-6489</t>
  </si>
  <si>
    <t>Unpivot O11 phone 3 and attach its companion metadata; preserve raw.</t>
  </si>
  <si>
    <t>landline | Land Line | mobile</t>
  </si>
  <si>
    <t>(715) 463-3683 | (704) 340-3048 | 2315573364</t>
  </si>
  <si>
    <t>Unpivot O11 phone 4 and attach its companion metadata; preserve raw.</t>
  </si>
  <si>
    <t>steven@centuryproducts.nl | michaelkeifenheim@poncacityjobs.com | professionalconstruction@msn.com</t>
  </si>
  <si>
    <t>Unpivot O11 email 1; lowercase for exact match key only; preserve raw.</t>
  </si>
  <si>
    <t>dcrawford@grantsburgtelcom.net | harrypickett32@yahoo.com | clements.mckenna@rocadesalvacion.org.ar</t>
  </si>
  <si>
    <t>Unpivot O11 email 2; lowercase for exact match key only; preserve raw.</t>
  </si>
  <si>
    <t>nacnud43@gmail.com | 1983bran2002@gmail.com | mckenna.clements@neinazarene.org</t>
  </si>
  <si>
    <t>Unpivot O11 email 3; lowercase for exact match key only; preserve raw.</t>
  </si>
  <si>
    <t>mclements@fortinet.com | nanajamson@sbcglobal.net | rmmau@aol.com</t>
  </si>
  <si>
    <t>Unpivot O11 email 4; lowercase for exact match key only; preserve raw.</t>
  </si>
  <si>
    <t>rmmau24@ameritech.net</t>
  </si>
  <si>
    <t>Unpivot O11 email 5; lowercase for exact match key only; preserve raw.</t>
  </si>
  <si>
    <t>rmoss1942@bellsouth.net</t>
  </si>
  <si>
    <t>Unpivot O11 email 6; lowercase for exact match key only; preserve raw.</t>
  </si>
  <si>
    <t>rmoss@medicalpropertiestrust.com</t>
  </si>
  <si>
    <t>Unpivot O11 email 7; lowercase for exact match key only; preserve raw.</t>
  </si>
  <si>
    <t>Andrew Houdek | Michael Eckholt | Gabriel Ordaz</t>
  </si>
  <si>
    <t>Repeated SalesMastery owner slot O12.</t>
  </si>
  <si>
    <t>unknown | unknown | owner | owner</t>
  </si>
  <si>
    <t>LAMAR BAPTIST CHURCH OF WICHITA FALLS TEXAS | WESTMOUNT REALTY CAPITAL, L.L.C. | Fidelity Development Inc</t>
  </si>
  <si>
    <t>mcadamd@catholicdioceseofwichita.org | maint@elkhornvalleypacking.com</t>
  </si>
  <si>
    <t>(336) 847-9516 | +1 (580) 491-4123 | (407) 878-7848</t>
  </si>
  <si>
    <t>Unpivot O12 phone 1 and attach its companion metadata; preserve raw.</t>
  </si>
  <si>
    <t>unknown | Mobile | mobile</t>
  </si>
  <si>
    <t>+1 (405) 990-7433 | (843) 345-0992 | +1(419)796-9290</t>
  </si>
  <si>
    <t>Unpivot O12 phone 2 and attach its companion metadata; preserve raw.</t>
  </si>
  <si>
    <t>(918) 470-0880 | +1(847)833-5395 | +1(503)399-9755</t>
  </si>
  <si>
    <t>Unpivot O12 phone 3 and attach its companion metadata; preserve raw.</t>
  </si>
  <si>
    <t>Mobile | mobile | unknown</t>
  </si>
  <si>
    <t>(502) 432-8078 | +1(210)289-9906 | +1(617)212-6486</t>
  </si>
  <si>
    <t>Unpivot O12 phone 4 and attach its companion metadata; preserve raw.</t>
  </si>
  <si>
    <t>+1(781)545-5059</t>
  </si>
  <si>
    <t>Unpivot O12 phone 5 and attach its companion metadata; preserve raw.</t>
  </si>
  <si>
    <t>jakebethel@airportjeep.com | michaeleckholt@hotmail.com | uday@dadabhagwan.org</t>
  </si>
  <si>
    <t>Unpivot O12 email 1; lowercase for exact match key only; preserve raw.</t>
  </si>
  <si>
    <t>linsey.mather@neinazarene.org | jsetzer@ccintp.com</t>
  </si>
  <si>
    <t>Unpivot O12 email 2; lowercase for exact match key only; preserve raw.</t>
  </si>
  <si>
    <t>linsey@jesusministries.org | jsetzer@yahoo.com</t>
  </si>
  <si>
    <t>Unpivot O12 email 3; lowercase for exact match key only; preserve raw.</t>
  </si>
  <si>
    <t>lmather@nazarene.org | janice.setzer@truckpro.com</t>
  </si>
  <si>
    <t>Unpivot O12 email 4; lowercase for exact match key only; preserve raw.</t>
  </si>
  <si>
    <t>Ryan Sullivan | Shelly Gopaul | Rahim Chamadiya</t>
  </si>
  <si>
    <t>Repeated SalesMastery owner slot O13.</t>
  </si>
  <si>
    <t>WESTMOUNT REALTY CAPITAL, L.L.C.</t>
  </si>
  <si>
    <t>reonomy | RM Property Search | CSV Upload</t>
  </si>
  <si>
    <t>jmille5494@aol.com</t>
  </si>
  <si>
    <t>(580) 767-0776 | (505) 690-2125 | +1 (773) 649-1000</t>
  </si>
  <si>
    <t>Unpivot O13 phone 1 and attach its companion metadata; preserve raw.</t>
  </si>
  <si>
    <t>(936) 207-8686 | +1 (513) 240-4259</t>
  </si>
  <si>
    <t>Unpivot O13 phone 2 and attach its companion metadata; preserve raw.</t>
  </si>
  <si>
    <t>(973) 222-8986</t>
  </si>
  <si>
    <t>Unpivot O13 phone 3 and attach its companion metadata; preserve raw.</t>
  </si>
  <si>
    <t>kris.sprowls@homedepot.com | elaine.varela@ocpw.ocgov.com | greek7679@hotmail.com</t>
  </si>
  <si>
    <t>Unpivot O13 email 1; lowercase for exact match key only; preserve raw.</t>
  </si>
  <si>
    <t>williamsk@stmaryshs.com | doug.rossi@capitolcityautomart.com</t>
  </si>
  <si>
    <t>Unpivot O13 email 2; lowercase for exact match key only; preserve raw.</t>
  </si>
  <si>
    <t>williamsk@waterloo.k12.wi.us | doug.rossi@cmtcompanies.com</t>
  </si>
  <si>
    <t>Unpivot O13 email 3; lowercase for exact match key only; preserve raw.</t>
  </si>
  <si>
    <t>williamskate@clinked.org | doug@cmtcompanies.com</t>
  </si>
  <si>
    <t>Unpivot O13 email 4; lowercase for exact match key only; preserve raw.</t>
  </si>
  <si>
    <t>Kris Sprowls | Sr Holding Llc | Central Church Of Christ</t>
  </si>
  <si>
    <t>Repeated SalesMastery owner slot O14.</t>
  </si>
  <si>
    <t>Southwest Baptist Church of Amarillo, Texas | WESTMOUNT REALTY CAPITAL, L.L.C.</t>
  </si>
  <si>
    <t>(713) 557-0565 | (339) 244-4478 | (203) 484-9530</t>
  </si>
  <si>
    <t>Unpivot O14 phone 1 and attach its companion metadata; preserve raw.</t>
  </si>
  <si>
    <t>+1(806)928-2595</t>
  </si>
  <si>
    <t>Unpivot O14 phone 2 and attach its companion metadata; preserve raw.</t>
  </si>
  <si>
    <t>+1(806)679-5130</t>
  </si>
  <si>
    <t>Unpivot O14 phone 3 and attach its companion metadata; preserve raw.</t>
  </si>
  <si>
    <t>kris_sprowls@homedepot.com | rsarras@southshorefireplace.com | kelseyd@cupchurch.org</t>
  </si>
  <si>
    <t>Unpivot O14 email 1; lowercase for exact match key only; preserve raw.</t>
  </si>
  <si>
    <t>jill@icnazarene.com | allan@thebeachgroup.com</t>
  </si>
  <si>
    <t>Unpivot O14 email 2; lowercase for exact match key only; preserve raw.</t>
  </si>
  <si>
    <t>jill@reisinsurance.com | allanburkes@erareal.com</t>
  </si>
  <si>
    <t>Unpivot O14 email 3; lowercase for exact match key only; preserve raw.</t>
  </si>
  <si>
    <t>jill@thenaz.org</t>
  </si>
  <si>
    <t>Unpivot O14 email 4; lowercase for exact match key only; preserve raw.</t>
  </si>
  <si>
    <t>Donald Boesel | Robert Campos</t>
  </si>
  <si>
    <t>Repeated SalesMastery owner slot O15.</t>
  </si>
  <si>
    <t>other | unknown</t>
  </si>
  <si>
    <t>High | Unverified</t>
  </si>
  <si>
    <t>(828) 691-0971 | +1 (206) 734-7023</t>
  </si>
  <si>
    <t>Unpivot O15 phone 1 and attach its companion metadata; preserve raw.</t>
  </si>
  <si>
    <t>(440) 865-5550</t>
  </si>
  <si>
    <t>Unpivot O15 phone 2 and attach its companion metadata; preserve raw.</t>
  </si>
  <si>
    <t>lb42500@aol.com | jim.cecil@boeing.com</t>
  </si>
  <si>
    <t>Unpivot O15 email 1; lowercase for exact match key only; preserve raw.</t>
  </si>
  <si>
    <t>dmb62bird@yahoo.com</t>
  </si>
  <si>
    <t>Unpivot O15 email 2; lowercase for exact match key only; preserve raw.</t>
  </si>
  <si>
    <t>Bill Taylor | Hortencia Richardson</t>
  </si>
  <si>
    <t>Repeated SalesMastery owner slot O16.</t>
  </si>
  <si>
    <t>(903) 530-2693 | +1 (425) 417-1257</t>
  </si>
  <si>
    <t>Unpivot O16 phone 1 and attach its companion metadata; preserve raw.</t>
  </si>
  <si>
    <t>cameron.w.andrus@boeing.com</t>
  </si>
  <si>
    <t>Unpivot O16 email 1; lowercase for exact match key only; preserve raw.</t>
  </si>
  <si>
    <t>Aubri Dreier | Adrian Redic</t>
  </si>
  <si>
    <t>Repeated SalesMastery owner slot O17.</t>
  </si>
  <si>
    <t>+1 (931) 801-9516 | +1 (360) 770-1444</t>
  </si>
  <si>
    <t>Unpivot O17 phone 1 and attach its companion metadata; preserve raw.</t>
  </si>
  <si>
    <t>aubri@jesusministries.org | tbesaw@schneider-transport.com</t>
  </si>
  <si>
    <t>Unpivot O17 email 1; lowercase for exact match key only; preserve raw.</t>
  </si>
  <si>
    <t>aubri.dreier@neinazarene.org</t>
  </si>
  <si>
    <t>Unpivot O17 email 2; lowercase for exact match key only; preserve raw.</t>
  </si>
  <si>
    <t>Yoshimi Yamamoto</t>
  </si>
  <si>
    <t>Repeated SalesMastery owner slot O18.</t>
  </si>
  <si>
    <t>Unverified</t>
  </si>
  <si>
    <t>+1 (920) 359-1007</t>
  </si>
  <si>
    <t>Unpivot O18 phone 1 and attach its companion metadata; preserve raw.</t>
  </si>
  <si>
    <t>tyler.besaw@wisconsin.edu</t>
  </si>
  <si>
    <t>Unpivot O18 email 1; lowercase for exact match key only; preserve raw.</t>
  </si>
  <si>
    <t>Carlos Otero</t>
  </si>
  <si>
    <t>Repeated SalesMastery owner slot O19.</t>
  </si>
  <si>
    <t>+1 (920) 362-9497</t>
  </si>
  <si>
    <t>Unpivot O19 phone 1 and attach its companion metadata; preserve raw.</t>
  </si>
  <si>
    <t>marco@ndia.org</t>
  </si>
  <si>
    <t>Unpivot O19 email 1; lowercase for exact match key only; preserve raw.</t>
  </si>
  <si>
    <t>The Boeing Company</t>
  </si>
  <si>
    <t>Repeated SalesMastery owner slot O20.</t>
  </si>
  <si>
    <t>+1 (302) 853-2354</t>
  </si>
  <si>
    <t>Unpivot O20 phone 1 and attach its companion metadata; preserve raw.</t>
  </si>
  <si>
    <t>yoshimi.yamamoto@boeing.com</t>
  </si>
  <si>
    <t>Unpivot O20 email 1; lowercase for exact match key only; preserve raw.</t>
  </si>
  <si>
    <t>internal_property_id</t>
  </si>
  <si>
    <t>79552877 | 133585786 | 77746207</t>
  </si>
  <si>
    <t>property_source_id.source_property_id</t>
  </si>
  <si>
    <t>Preserve raw; normalize/parse using approved field rule.</t>
  </si>
  <si>
    <t>Vendor-specific property identifier; not assumed to be APN or global ID.</t>
  </si>
  <si>
    <t>living_area_sqft</t>
  </si>
  <si>
    <t>75216 | 23680 | 4800</t>
  </si>
  <si>
    <t>property.living_area_sqft</t>
  </si>
  <si>
    <t>Living area measurement.</t>
  </si>
  <si>
    <t>2 Stories | 1 Story | 3 Stories</t>
  </si>
  <si>
    <t>property.stories_raw</t>
  </si>
  <si>
    <t>May contain text such as '2 Stories'; parse through approved rule.</t>
  </si>
  <si>
    <t>property_address_street_1</t>
  </si>
  <si>
    <t>1425 S 5TH ST | 1001 E 74TH ST | 3380 E AIRPORT RD</t>
  </si>
  <si>
    <t>Property street line 1.</t>
  </si>
  <si>
    <t>property_address_street_2</t>
  </si>
  <si>
    <t>STE 114 | STE 240</t>
  </si>
  <si>
    <t>property.address.street_2</t>
  </si>
  <si>
    <t>Property street line 2.</t>
  </si>
  <si>
    <t>property_address_city</t>
  </si>
  <si>
    <t>SAINT CHARLES | LUBBOCK | EL DORADO SPRINGS</t>
  </si>
  <si>
    <t>Property city.</t>
  </si>
  <si>
    <t>property_address_state</t>
  </si>
  <si>
    <t>MO | TX | KS</t>
  </si>
  <si>
    <t>Property state.</t>
  </si>
  <si>
    <t>property_address_zip_code</t>
  </si>
  <si>
    <t>63301 | 79404 | 64744</t>
  </si>
  <si>
    <t>Property ZIP; text preserves leading zeros.</t>
  </si>
  <si>
    <t>MAHENDRA JARIWALA | BRUCE COHEN | PAUL MILLER</t>
  </si>
  <si>
    <t>Unpivot likely-owner slot 1; preserve raw and link to property as likely_owner.</t>
  </si>
  <si>
    <t>Repeated likely-owner contact slot.</t>
  </si>
  <si>
    <t>Contact names can still contain companies; classification requires approval.</t>
  </si>
  <si>
    <t>3145148234 | 9728991294 | 4178767215</t>
  </si>
  <si>
    <t>Unpivot slot 1 phone 1 with companion metadata; preserve raw.</t>
  </si>
  <si>
    <t>Repeated likely-owner phone field.</t>
  </si>
  <si>
    <t>9087099731 | 4178763777 | 4176210917</t>
  </si>
  <si>
    <t>Unpivot slot 1 phone 2 with companion metadata; preserve raw.</t>
  </si>
  <si>
    <t>9729557661 | 4176596071 | 5737476632</t>
  </si>
  <si>
    <t>Unpivot slot 1 phone 3 with companion metadata; preserve raw.</t>
  </si>
  <si>
    <t>likely_owner_contact_1_phone_number_1_phone_type</t>
  </si>
  <si>
    <t>Landline | Mobile</t>
  </si>
  <si>
    <t>likely_owner_contact_1_phone_number_2_phone_type</t>
  </si>
  <si>
    <t>likely_owner_contact_1_phone_number_3_phone_type</t>
  </si>
  <si>
    <t>Mobile | Landline</t>
  </si>
  <si>
    <t>MNJINC@YAHOO.COM | BRUCEACOHEN@GMAIL.COM | MILLCON@CENTURYTEL.NET</t>
  </si>
  <si>
    <t>Unpivot slot 1 email 1; lowercase for exact match key only; preserve raw.</t>
  </si>
  <si>
    <t>Repeated likely-owner email field.</t>
  </si>
  <si>
    <t>RMJARIWALA@YAHOO.COM | BRUCE.A.COHEN@GMAIL.COM | DADSLILSUNSHINE@GMAIL.COM</t>
  </si>
  <si>
    <t>Unpivot slot 1 email 2; lowercase for exact match key only; preserve raw.</t>
  </si>
  <si>
    <t>KMJARIWALA@GMAIL.COM | BDC914@YAHOO.COM | DONALD.SINCLAIR@WESTERNGAS.COM</t>
  </si>
  <si>
    <t>Unpivot slot 1 email 3; lowercase for exact match key only; preserve raw.</t>
  </si>
  <si>
    <t>JOHN POAKEART | JOYCE MILLER | SARAH ATKINS</t>
  </si>
  <si>
    <t>Unpivot likely-owner slot 2; preserve raw and link to property as likely_owner.</t>
  </si>
  <si>
    <t>2147050771 | 4178763777 | 3144961704</t>
  </si>
  <si>
    <t>Unpivot slot 2 phone 1 with companion metadata; preserve raw.</t>
  </si>
  <si>
    <t>8453536911 | 3149227365 | 3617746084</t>
  </si>
  <si>
    <t>Unpivot slot 2 phone 2 with companion metadata; preserve raw.</t>
  </si>
  <si>
    <t>3142609578 | 3619042225 | 3158265039</t>
  </si>
  <si>
    <t>Unpivot slot 2 phone 3 with companion metadata; preserve raw.</t>
  </si>
  <si>
    <t>likely_owner_contact_2_phone_number_1_phone_type</t>
  </si>
  <si>
    <t>likely_owner_contact_2_phone_number_2_phone_type</t>
  </si>
  <si>
    <t>likely_owner_contact_2_phone_number_3_phone_type</t>
  </si>
  <si>
    <t>JPOAKEART@GMAIL.COM | SARAH.ATKINS@EDWARDJONES.COM | JAMIRABAL@OUTLOOK.COM</t>
  </si>
  <si>
    <t>Unpivot slot 2 email 1; lowercase for exact match key only; preserve raw.</t>
  </si>
  <si>
    <t>JOHN.POAKEART@NETZERO.NET | SARAHATKINS2769@GMAIL.COM | ROBERTSR007@YAHOO.COM</t>
  </si>
  <si>
    <t>Unpivot slot 2 email 2; lowercase for exact match key only; preserve raw.</t>
  </si>
  <si>
    <t>XJOHN.PQOAKEART20@NETZERO.NET | KAUSHUN.GTHAKIDD@GMAIL.COM | JMIRABAL23@YAHOO.COM</t>
  </si>
  <si>
    <t>Unpivot slot 2 email 3; lowercase for exact match key only; preserve raw.</t>
  </si>
  <si>
    <t>likely_owner_contact_3_full_name</t>
  </si>
  <si>
    <t>CHARLES MUELLER | BRANDSYN GIVENS | BRIAN ECKELKAMP</t>
  </si>
  <si>
    <t>Unpivot likely-owner slot 3; preserve raw and link to property as likely_owner.</t>
  </si>
  <si>
    <t>9362639192 | 6362396651 | 5804454412</t>
  </si>
  <si>
    <t>Unpivot slot 3 phone 1 with companion metadata; preserve raw.</t>
  </si>
  <si>
    <t>9367180967 | 3148074853 | 8033565010</t>
  </si>
  <si>
    <t>Unpivot slot 3 phone 2 with companion metadata; preserve raw.</t>
  </si>
  <si>
    <t>2812598148 | 6362396421 | 5137558926</t>
  </si>
  <si>
    <t>Unpivot slot 3 phone 3 with companion metadata; preserve raw.</t>
  </si>
  <si>
    <t>likely_owner_contact_3_phone_number_1_phone_type</t>
  </si>
  <si>
    <t>likely_owner_contact_3_phone_number_2_phone_type</t>
  </si>
  <si>
    <t>likely_owner_contact_3_phone_number_3_phone_type</t>
  </si>
  <si>
    <t>FMCRAC47@YMAIL.COM | BRANDSYNGIVENS@GMAIL.COM | BRIANECKELKAMP@CS.COM</t>
  </si>
  <si>
    <t>Unpivot slot 3 email 1; lowercase for exact match key only; preserve raw.</t>
  </si>
  <si>
    <t>CFMUELLER74@YAHOO.COM | BRIAN.ECKELKAMP@RAINBOWINTL.COM | JOSEPH.REINHARDT@FOXTAILFOODS.COM</t>
  </si>
  <si>
    <t>Unpivot slot 3 email 2; lowercase for exact match key only; preserve raw.</t>
  </si>
  <si>
    <t>REDNECK.74@LIVE.COM | BRIAN.ECKELKAMP@MAIL.RAINBOWINTL.COM | BEECHER@COUNTYOFDANE.COM</t>
  </si>
  <si>
    <t>Unpivot slot 3 email 3; lowercase for exact match key only; preserve raw.</t>
  </si>
  <si>
    <t>likely_owner_contact_4_full_name</t>
  </si>
  <si>
    <t>CHRISTY BASCO | MACKENZIE WILLIAMS | BRENDA MORMAN</t>
  </si>
  <si>
    <t>Unpivot likely-owner slot 4; preserve raw and link to property as likely_owner.</t>
  </si>
  <si>
    <t>9723935097 | 3147409648 | 4074895024</t>
  </si>
  <si>
    <t>Unpivot slot 4 phone 1 with companion metadata; preserve raw.</t>
  </si>
  <si>
    <t>2146689230 | 4072337050 | 3149681332</t>
  </si>
  <si>
    <t>Unpivot slot 4 phone 2 with companion metadata; preserve raw.</t>
  </si>
  <si>
    <t>2149120216 | 4076908393 | 2819651244</t>
  </si>
  <si>
    <t>Unpivot slot 4 phone 3 with companion metadata; preserve raw.</t>
  </si>
  <si>
    <t>likely_owner_contact_4_phone_number_1_phone_type</t>
  </si>
  <si>
    <t>likely_owner_contact_4_phone_number_2_phone_type</t>
  </si>
  <si>
    <t>likely_owner_contact_4_phone_number_3_phone_type</t>
  </si>
  <si>
    <t>MACKENZIEW588@GMAIL.COM | CATCHERFAN@GMAIL.COM | DUARTE.IXCHELL@CNL.COM</t>
  </si>
  <si>
    <t>Unpivot slot 4 email 1; lowercase for exact match key only; preserve raw.</t>
  </si>
  <si>
    <t>KENZIEW619@GMAIL.COM | IVETTE0622@YAHOO.COM | IXCHELL.DUARTE@GMAIL.COM</t>
  </si>
  <si>
    <t>Unpivot slot 4 email 2; lowercase for exact match key only; preserve raw.</t>
  </si>
  <si>
    <t>ACHTUNGBABY1@HOTMAIL.COM | IXCHELLDUARTE@GMAIL.COM | HARMS.DEANNE@GMAIL.COM</t>
  </si>
  <si>
    <t>Unpivot slot 4 email 3; lowercase for exact match key only; preserve raw.</t>
  </si>
  <si>
    <t>likely_owner_contact_5_full_name</t>
  </si>
  <si>
    <t>SUSAN CHAO | CARA DAVES | KEVIN RICHARDSON</t>
  </si>
  <si>
    <t>Unpivot likely-owner slot 5; preserve raw and link to property as likely_owner.</t>
  </si>
  <si>
    <t>8328766829 | 6363902418 | 3147505498</t>
  </si>
  <si>
    <t>Unpivot slot 5 phone 1 with companion metadata; preserve raw.</t>
  </si>
  <si>
    <t>6363913093 | 8182198076 | 2199882380</t>
  </si>
  <si>
    <t>Unpivot slot 5 phone 2 with companion metadata; preserve raw.</t>
  </si>
  <si>
    <t>4803859120 | 2178952822 | 5125336091</t>
  </si>
  <si>
    <t>Unpivot slot 5 phone 3 with companion metadata; preserve raw.</t>
  </si>
  <si>
    <t>likely_owner_contact_5_phone_number_1_phone_type</t>
  </si>
  <si>
    <t>likely_owner_contact_5_phone_number_2_phone_type</t>
  </si>
  <si>
    <t>likely_owner_contact_5_phone_number_3_phone_type</t>
  </si>
  <si>
    <t>YENYUN@HOTMAIL.COM | KAR@ZVPLAW.COM | RJCOMBS23@YAHOO.COM</t>
  </si>
  <si>
    <t>Unpivot slot 5 email 1; lowercase for exact match key only; preserve raw.</t>
  </si>
  <si>
    <t>SUSAN.CHAO@NOV.COM | GREGORIAN34@GMAIL.COM | ACCOMBS81@ATT.NET</t>
  </si>
  <si>
    <t>Unpivot slot 5 email 2; lowercase for exact match key only; preserve raw.</t>
  </si>
  <si>
    <t>RANDALL.COMBS@SSMHEALTH.COM | LACOSSERICHARD@GMAIL.COM | DUANE.HERCULES@SAFETYNATIONAL.COM</t>
  </si>
  <si>
    <t>Unpivot slot 5 email 3; lowercase for exact match key only; preserve raw.</t>
  </si>
  <si>
    <t>Gable | Flat | Hip</t>
  </si>
  <si>
    <t>property.roof_shape_type_raw</t>
  </si>
  <si>
    <t>Appears to be roof shape in samples; confirm vocabulary.</t>
  </si>
  <si>
    <t>38.770662 | 33.527596 | 37.855012</t>
  </si>
  <si>
    <t>Geocode latitude.</t>
  </si>
  <si>
    <t>-90.494388 | -101.825688 | -94.003927</t>
  </si>
  <si>
    <t>Geocode longitude.</t>
  </si>
  <si>
    <t>IWALA INC | ROLLING FRITO LAY SALES LP | MILLER PAUL</t>
  </si>
  <si>
    <t>Recorded owner may be person or organization.</t>
  </si>
  <si>
    <t>Classify person versus company only after rule approval.</t>
  </si>
  <si>
    <t>MILLER JOYCE | MIRABAL GRACIELA M | SEIBOLD DON &amp; CAROLYN FAMILY TRUST</t>
  </si>
  <si>
    <t>roof_cover</t>
  </si>
  <si>
    <t>Built-up | Metal | Composition Shingle</t>
  </si>
  <si>
    <t>property.roof_cover_material_raw</t>
  </si>
  <si>
    <t>Roof-cover material; keep separate from roof shape/type.</t>
  </si>
  <si>
    <t>Apartment | Single Family | Multi Family</t>
  </si>
  <si>
    <t>Property classification; vocabulary needed.</t>
  </si>
  <si>
    <t>E | C | D</t>
  </si>
  <si>
    <t>property.building_quality_raw</t>
  </si>
  <si>
    <t>Vendor quality grade; retain source semantics.</t>
  </si>
  <si>
    <t>High: vendor property identifier; test uniqueness; not APN.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</si>
</sst>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1.0"/>
      <color rgb="FF000000"/>
      <name val="Carlito"/>
      <scheme val="minor"/>
    </font>
    <font>
      <b/>
      <sz val="11.0"/>
      <color rgb="FFFFFFFF"/>
      <name val="Carlito"/>
    </font>
    <font>
      <i/>
      <sz val="11.0"/>
      <color rgb="FF475569"/>
      <name val="Carlito"/>
    </font>
    <font>
      <sz val="11.0"/>
      <color rgb="FF1F2937"/>
      <name val="Carlito"/>
    </font>
    <font>
      <b/>
      <sz val="11.0"/>
      <color rgb="FF92400E"/>
      <name val="Carlito"/>
    </font>
    <font/>
    <font>
      <b/>
      <sz val="11.0"/>
      <color rgb="FF475569"/>
      <name val="Carlito"/>
    </font>
    <font>
      <b/>
      <sz val="11.0"/>
      <color rgb="FF17324D"/>
      <name val="Carlito"/>
    </font>
    <font>
      <sz val="11.0"/>
      <color rgb="FF17324D"/>
      <name val="Carlito"/>
    </font>
    <font>
      <b/>
      <sz val="11.0"/>
      <color rgb="FFB91C1C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DDF3EE"/>
        <bgColor rgb="FFDDF3EE"/>
      </patternFill>
    </fill>
    <fill>
      <patternFill patternType="solid">
        <fgColor rgb="FF0F766E"/>
        <bgColor rgb="FF0F766E"/>
      </patternFill>
    </fill>
    <fill>
      <patternFill patternType="solid">
        <fgColor rgb="FF475569"/>
        <bgColor rgb="FF475569"/>
      </patternFill>
    </fill>
    <fill>
      <patternFill patternType="solid">
        <fgColor rgb="FFFFF4D6"/>
        <bgColor rgb="FFFFF4D6"/>
      </patternFill>
    </fill>
    <fill>
      <patternFill patternType="solid">
        <fgColor rgb="FFF5F7FA"/>
        <bgColor rgb="FFF5F7FA"/>
      </patternFill>
    </fill>
    <fill>
      <patternFill patternType="solid">
        <fgColor rgb="FFFDE8E8"/>
        <bgColor rgb="FFFDE8E8"/>
      </patternFill>
    </fill>
  </fills>
  <borders count="16">
    <border/>
    <border>
      <right style="thin">
        <color rgb="FFD8E0E8"/>
      </right>
      <bottom style="thin">
        <color rgb="FFD8E0E8"/>
      </bottom>
    </border>
    <border>
      <left style="thin">
        <color rgb="FFD8E0E8"/>
      </left>
      <right style="thin">
        <color rgb="FFD8E0E8"/>
      </right>
      <bottom style="thin">
        <color rgb="FFD8E0E8"/>
      </bottom>
    </border>
    <border>
      <left style="thin">
        <color rgb="FFD8E0E8"/>
      </left>
      <bottom style="thin">
        <color rgb="FFD8E0E8"/>
      </bottom>
    </border>
    <border>
      <right style="thin">
        <color rgb="FFD8E0E8"/>
      </right>
      <top style="thin">
        <color rgb="FFD8E0E8"/>
      </top>
      <bottom style="thin">
        <color rgb="FFD8E0E8"/>
      </bottom>
    </border>
    <border>
      <left style="thin">
        <color rgb="FFD8E0E8"/>
      </left>
      <right style="thin">
        <color rgb="FFD8E0E8"/>
      </right>
      <top style="thin">
        <color rgb="FFD8E0E8"/>
      </top>
      <bottom style="thin">
        <color rgb="FFD8E0E8"/>
      </bottom>
    </border>
    <border>
      <left style="thin">
        <color rgb="FFD8E0E8"/>
      </left>
      <top style="thin">
        <color rgb="FFD8E0E8"/>
      </top>
      <bottom style="thin">
        <color rgb="FFD8E0E8"/>
      </bottom>
    </border>
    <border>
      <right style="thin">
        <color rgb="FFD8E0E8"/>
      </right>
      <top style="thin">
        <color rgb="FFD8E0E8"/>
      </top>
    </border>
    <border>
      <left style="thin">
        <color rgb="FFD8E0E8"/>
      </left>
      <right style="thin">
        <color rgb="FFD8E0E8"/>
      </right>
      <top style="thin">
        <color rgb="FFD8E0E8"/>
      </top>
    </border>
    <border>
      <left style="thin">
        <color rgb="FFD8E0E8"/>
      </left>
      <top style="thin">
        <color rgb="FFD8E0E8"/>
      </top>
    </border>
    <border>
      <left style="medium">
        <color rgb="FFF59E0B"/>
      </left>
      <top style="medium">
        <color rgb="FFF59E0B"/>
      </top>
    </border>
    <border>
      <top style="medium">
        <color rgb="FFF59E0B"/>
      </top>
    </border>
    <border>
      <right style="medium">
        <color rgb="FFF59E0B"/>
      </right>
      <top style="medium">
        <color rgb="FFF59E0B"/>
      </top>
    </border>
    <border>
      <left style="medium">
        <color rgb="FFF59E0B"/>
      </left>
      <bottom style="medium">
        <color rgb="FFF59E0B"/>
      </bottom>
    </border>
    <border>
      <bottom style="medium">
        <color rgb="FFF59E0B"/>
      </bottom>
    </border>
    <border>
      <right style="medium">
        <color rgb="FFF59E0B"/>
      </right>
      <bottom style="medium">
        <color rgb="FFF59E0B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shrinkToFit="0" vertical="center" wrapText="1"/>
    </xf>
    <xf borderId="0" fillId="4" fontId="1" numFmtId="0" xfId="0" applyAlignment="1" applyFill="1" applyFont="1">
      <alignment horizontal="left" readingOrder="0" shrinkToFit="0" vertical="center" wrapText="1"/>
    </xf>
    <xf borderId="0" fillId="4" fontId="1" numFmtId="3" xfId="0" applyAlignment="1" applyFont="1" applyNumberFormat="1">
      <alignment horizontal="left" readingOrder="0" shrinkToFit="0" vertical="center" wrapText="1"/>
    </xf>
    <xf borderId="0" fillId="4" fontId="1" numFmtId="3" xfId="0" applyAlignment="1" applyFont="1" applyNumberFormat="1">
      <alignment horizontal="right" readingOrder="0" shrinkToFit="0" vertical="center" wrapText="1"/>
    </xf>
    <xf borderId="0" fillId="4" fontId="1" numFmtId="164" xfId="0" applyAlignment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shrinkToFit="0" vertical="top" wrapText="0"/>
    </xf>
    <xf borderId="2" fillId="0" fontId="3" numFmtId="0" xfId="0" applyAlignment="1" applyBorder="1" applyFont="1">
      <alignment shrinkToFit="0" vertical="top" wrapText="0"/>
    </xf>
    <xf borderId="2" fillId="0" fontId="3" numFmtId="3" xfId="0" applyAlignment="1" applyBorder="1" applyFont="1" applyNumberFormat="1">
      <alignment shrinkToFit="0" vertical="top" wrapText="0"/>
    </xf>
    <xf borderId="2" fillId="0" fontId="3" numFmtId="0" xfId="0" applyAlignment="1" applyBorder="1" applyFont="1">
      <alignment shrinkToFit="0" vertical="top" wrapText="1"/>
    </xf>
    <xf borderId="2" fillId="0" fontId="3" numFmtId="3" xfId="0" applyAlignment="1" applyBorder="1" applyFont="1" applyNumberFormat="1">
      <alignment horizontal="right" shrinkToFit="0" vertical="top" wrapText="0"/>
    </xf>
    <xf borderId="3" fillId="0" fontId="3" numFmtId="0" xfId="0" applyAlignment="1" applyBorder="1" applyFont="1">
      <alignment shrinkToFit="0" vertical="top" wrapText="1"/>
    </xf>
    <xf borderId="2" fillId="0" fontId="3" numFmtId="164" xfId="0" applyAlignment="1" applyBorder="1" applyFont="1" applyNumberFormat="1">
      <alignment shrinkToFit="0" vertical="top" wrapText="0"/>
    </xf>
    <xf borderId="4" fillId="0" fontId="3" numFmtId="0" xfId="0" applyAlignment="1" applyBorder="1" applyFont="1">
      <alignment shrinkToFit="0" vertical="top" wrapText="0"/>
    </xf>
    <xf borderId="5" fillId="0" fontId="3" numFmtId="3" xfId="0" applyAlignment="1" applyBorder="1" applyFont="1" applyNumberFormat="1">
      <alignment shrinkToFit="0" vertical="top" wrapText="0"/>
    </xf>
    <xf borderId="5" fillId="0" fontId="3" numFmtId="0" xfId="0" applyAlignment="1" applyBorder="1" applyFont="1">
      <alignment shrinkToFit="0" vertical="top" wrapText="0"/>
    </xf>
    <xf borderId="5" fillId="0" fontId="3" numFmtId="0" xfId="0" applyAlignment="1" applyBorder="1" applyFont="1">
      <alignment shrinkToFit="0" vertical="top" wrapText="1"/>
    </xf>
    <xf borderId="5" fillId="0" fontId="3" numFmtId="3" xfId="0" applyAlignment="1" applyBorder="1" applyFont="1" applyNumberFormat="1">
      <alignment horizontal="right" shrinkToFit="0" vertical="top" wrapText="0"/>
    </xf>
    <xf borderId="5" fillId="0" fontId="3" numFmtId="164" xfId="0" applyAlignment="1" applyBorder="1" applyFont="1" applyNumberFormat="1">
      <alignment shrinkToFit="0" vertical="top" wrapText="0"/>
    </xf>
    <xf borderId="6" fillId="0" fontId="3" numFmtId="0" xfId="0" applyAlignment="1" applyBorder="1" applyFont="1">
      <alignment shrinkToFit="0" vertical="top" wrapText="1"/>
    </xf>
    <xf borderId="7" fillId="0" fontId="3" numFmtId="0" xfId="0" applyAlignment="1" applyBorder="1" applyFont="1">
      <alignment shrinkToFit="0" vertical="top" wrapText="0"/>
    </xf>
    <xf borderId="8" fillId="0" fontId="3" numFmtId="0" xfId="0" applyAlignment="1" applyBorder="1" applyFont="1">
      <alignment shrinkToFit="0" vertical="top" wrapText="1"/>
    </xf>
    <xf borderId="8" fillId="0" fontId="3" numFmtId="3" xfId="0" applyAlignment="1" applyBorder="1" applyFont="1" applyNumberFormat="1">
      <alignment horizontal="right" shrinkToFit="0" vertical="top" wrapText="0"/>
    </xf>
    <xf borderId="8" fillId="0" fontId="3" numFmtId="0" xfId="0" applyAlignment="1" applyBorder="1" applyFont="1">
      <alignment shrinkToFit="0" vertical="top" wrapText="0"/>
    </xf>
    <xf borderId="8" fillId="0" fontId="3" numFmtId="3" xfId="0" applyAlignment="1" applyBorder="1" applyFont="1" applyNumberFormat="1">
      <alignment shrinkToFit="0" vertical="top" wrapText="0"/>
    </xf>
    <xf borderId="9" fillId="0" fontId="3" numFmtId="0" xfId="0" applyAlignment="1" applyBorder="1" applyFont="1">
      <alignment shrinkToFit="0" vertical="top" wrapText="1"/>
    </xf>
    <xf borderId="0" fillId="5" fontId="1" numFmtId="0" xfId="0" applyFill="1" applyFont="1"/>
    <xf borderId="3" fillId="0" fontId="3" numFmtId="3" xfId="0" applyAlignment="1" applyBorder="1" applyFont="1" applyNumberFormat="1">
      <alignment shrinkToFit="0" vertical="top" wrapText="0"/>
    </xf>
    <xf borderId="6" fillId="0" fontId="3" numFmtId="3" xfId="0" applyAlignment="1" applyBorder="1" applyFont="1" applyNumberFormat="1">
      <alignment shrinkToFit="0" vertical="top" wrapText="0"/>
    </xf>
    <xf borderId="9" fillId="0" fontId="3" numFmtId="3" xfId="0" applyAlignment="1" applyBorder="1" applyFont="1" applyNumberFormat="1">
      <alignment shrinkToFit="0" vertical="top" wrapText="0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7" fillId="0" fontId="3" numFmtId="0" xfId="0" applyAlignment="1" applyBorder="1" applyFont="1">
      <alignment shrinkToFit="0" vertical="top" wrapText="1"/>
    </xf>
    <xf borderId="1" fillId="6" fontId="4" numFmtId="0" xfId="0" applyAlignment="1" applyBorder="1" applyFill="1" applyFont="1">
      <alignment shrinkToFit="0" vertical="top" wrapText="0"/>
    </xf>
    <xf borderId="4" fillId="6" fontId="4" numFmtId="0" xfId="0" applyAlignment="1" applyBorder="1" applyFont="1">
      <alignment shrinkToFit="0" vertical="top" wrapText="0"/>
    </xf>
    <xf borderId="7" fillId="6" fontId="4" numFmtId="0" xfId="0" applyAlignment="1" applyBorder="1" applyFont="1">
      <alignment shrinkToFit="0" vertical="top" wrapText="0"/>
    </xf>
    <xf borderId="1" fillId="0" fontId="3" numFmtId="3" xfId="0" applyAlignment="1" applyBorder="1" applyFont="1" applyNumberFormat="1">
      <alignment shrinkToFit="0" vertical="top" wrapText="0"/>
    </xf>
    <xf borderId="4" fillId="0" fontId="3" numFmtId="3" xfId="0" applyAlignment="1" applyBorder="1" applyFont="1" applyNumberFormat="1">
      <alignment shrinkToFit="0" vertical="top" wrapText="0"/>
    </xf>
    <xf borderId="7" fillId="0" fontId="3" numFmtId="3" xfId="0" applyAlignment="1" applyBorder="1" applyFont="1" applyNumberFormat="1">
      <alignment shrinkToFit="0" vertical="top" wrapText="0"/>
    </xf>
    <xf borderId="10" fillId="6" fontId="4" numFmtId="0" xfId="0" applyAlignment="1" applyBorder="1" applyFont="1">
      <alignment shrinkToFit="0" vertical="center" wrapText="1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0" fillId="4" fontId="1" numFmtId="0" xfId="0" applyFont="1"/>
    <xf borderId="1" fillId="7" fontId="6" numFmtId="0" xfId="0" applyBorder="1" applyFill="1" applyFont="1"/>
    <xf borderId="3" fillId="0" fontId="7" numFmtId="3" xfId="0" applyBorder="1" applyFont="1" applyNumberFormat="1"/>
    <xf borderId="0" fillId="3" fontId="8" numFmtId="0" xfId="0" applyAlignment="1" applyFont="1">
      <alignment shrinkToFit="0" vertical="center" wrapText="1"/>
    </xf>
    <xf borderId="4" fillId="7" fontId="6" numFmtId="0" xfId="0" applyBorder="1" applyFont="1"/>
    <xf borderId="6" fillId="0" fontId="7" numFmtId="3" xfId="0" applyBorder="1" applyFont="1" applyNumberFormat="1"/>
    <xf borderId="0" fillId="8" fontId="9" numFmtId="0" xfId="0" applyAlignment="1" applyFill="1" applyFont="1">
      <alignment shrinkToFit="0" vertical="center" wrapText="1"/>
    </xf>
    <xf borderId="7" fillId="7" fontId="6" numFmtId="0" xfId="0" applyBorder="1" applyFont="1"/>
    <xf borderId="9" fillId="0" fontId="7" numFmtId="3" xfId="0" applyBorder="1" applyFont="1" applyNumberFormat="1"/>
    <xf borderId="8" fillId="0" fontId="3" numFmtId="164" xfId="0" applyAlignment="1" applyBorder="1" applyFont="1" applyNumberFormat="1">
      <alignment shrinkToFit="0" vertical="top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B91C1C"/>
      </font>
      <fill>
        <patternFill patternType="solid">
          <fgColor rgb="FFFDE8E8"/>
          <bgColor rgb="FFFDE8E8"/>
        </patternFill>
      </fill>
      <border/>
    </dxf>
    <dxf>
      <font>
        <color rgb="FF92400E"/>
      </font>
      <fill>
        <patternFill patternType="solid">
          <fgColor rgb="FFFFF4D6"/>
          <bgColor rgb="FFFFF4D6"/>
        </patternFill>
      </fill>
      <border/>
    </dxf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B91C1C"/>
      </font>
      <fill>
        <patternFill patternType="solid">
          <fgColor rgb="FFFDE8E8"/>
          <bgColor rgb="FFFDE8E8"/>
        </patternFill>
      </fill>
      <border/>
    </dxf>
  </dxfs>
  <tableStyles count="19">
    <tableStyle count="4" pivot="0" name="Column Profi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le Invent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 Qual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umn Mapp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ssue Loc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perty Overla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perty Overlap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 Evide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 Evidenc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nonical Sche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rmalization Ru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ching Ru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oring &amp; Rank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sions Need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imated Effec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mplementation P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sformation Pre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of Examp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ecutive 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R8" displayName="FileInventoryTable" name="FileInventoryTable" id="1">
  <tableColumns count="18">
    <tableColumn name="Source File" id="1"/>
    <tableColumn name="Source Path" id="2"/>
    <tableColumn name="Bytes" id="3"/>
    <tableColumn name="Encoding" id="4"/>
    <tableColumn name="Delimiter" id="5"/>
    <tableColumn name="Data Rows" id="6"/>
    <tableColumn name="Columns" id="7"/>
    <tableColumn name="Empty File" id="8"/>
    <tableColumn name="Malformed Rows" id="9"/>
    <tableColumn name="Malformed Examples" id="10"/>
    <tableColumn name="Duplicate Headers" id="11"/>
    <tableColumn name="Unnamed Columns" id="12"/>
    <tableColumn name="Replacement Chars" id="13"/>
    <tableColumn name="Exact Duplicate Groups" id="14"/>
    <tableColumn name="Rows in Exact Duplicate Groups" id="15"/>
    <tableColumn name="100% Blank Columns" id="16"/>
    <tableColumn name="&gt;=99% Blank Columns" id="17"/>
    <tableColumn name="Parsing Notes" id="18"/>
  </tableColumns>
  <tableStyleInfo name="File Inventory-style" showColumnStripes="0" showFirstColumn="1" showLastColumn="1" showRowStripes="1"/>
</table>
</file>

<file path=xl/tables/table2.xml><?xml version="1.0" encoding="utf-8"?>
<table xmlns="http://schemas.openxmlformats.org/spreadsheetml/2006/main" ref="A4:M845" displayName="ColumnProfilesTable" name="ColumnProfilesTable" id="2">
  <tableColumns count="13">
    <tableColumn name="Source File" id="1"/>
    <tableColumn name="Column #" id="2"/>
    <tableColumn name="Original Column" id="3"/>
    <tableColumn name="Inferred Type" id="4"/>
    <tableColumn name="Blank Count" id="5"/>
    <tableColumn name="Blank %" id="6"/>
    <tableColumn name="Explicit Unknown" id="7"/>
    <tableColumn name="Other Placeholders" id="8"/>
    <tableColumn name="Distinct Raw Values" id="9"/>
    <tableColumn name="Multi-value Rows" id="10"/>
    <tableColumn name="Purpose Mismatch Rows" id="11"/>
    <tableColumn name="Potential Identifier" id="12"/>
    <tableColumn name="Representative Values" id="13"/>
  </tableColumns>
  <tableStyleInfo name="Column Profiles-style" showColumnStripes="0" showFirstColumn="1" showLastColumn="1" showRowStripes="1"/>
</table>
</file>

<file path=xl/tables/table3.xml><?xml version="1.0" encoding="utf-8"?>
<table xmlns="http://schemas.openxmlformats.org/spreadsheetml/2006/main" ref="A4:K845" displayName="ColumnMappingTable" name="ColumnMappingTable" id="3">
  <tableColumns count="11">
    <tableColumn name="Source File" id="1"/>
    <tableColumn name="Column #" id="2"/>
    <tableColumn name="Original Column" id="3"/>
    <tableColumn name="Representative Values" id="4"/>
    <tableColumn name="Proposed Canonical Field" id="5"/>
    <tableColumn name="Proposed Type" id="6"/>
    <tableColumn name="Entity Category" id="7"/>
    <tableColumn name="Transformation / Parsing Rule" id="8"/>
    <tableColumn name="Confidence" id="9"/>
    <tableColumn name="Mapping Reason" id="10"/>
    <tableColumn name="Ambiguity / Decision" id="11"/>
  </tableColumns>
  <tableStyleInfo name="Column Mapping-style" showColumnStripes="0" showFirstColumn="1" showLastColumn="1" showRowStripes="1"/>
</table>
</file>

<file path=xl/tables/table4.xml><?xml version="1.0" encoding="utf-8"?>
<table xmlns="http://schemas.openxmlformats.org/spreadsheetml/2006/main" ref="A4:J30" displayName="DataQualityIssuesTable" name="DataQualityIssuesTable" id="4">
  <tableColumns count="10">
    <tableColumn name="Issue ID" id="1"/>
    <tableColumn name="Category" id="2"/>
    <tableColumn name="Issue" id="3"/>
    <tableColumn name="Affected Rows" id="4"/>
    <tableColumn name="Affected Occurrences" id="5"/>
    <tableColumn name="Files / Columns" id="6"/>
    <tableColumn name="Representative Examples" id="7"/>
    <tableColumn name="Proposed Rule" id="8"/>
    <tableColumn name="Risk" id="9"/>
    <tableColumn name="Automation / Review" id="10"/>
  </tableColumns>
  <tableStyleInfo name="Data Quality-style" showColumnStripes="0" showFirstColumn="1" showLastColumn="1" showRowStripes="1"/>
</table>
</file>

<file path=xl/tables/table5.xml><?xml version="1.0" encoding="utf-8"?>
<table xmlns="http://schemas.openxmlformats.org/spreadsheetml/2006/main" ref="A4:F1070" displayName="IssueLocationsTable" name="IssueLocationsTable" id="5">
  <tableColumns count="6">
    <tableColumn name="Issue ID" id="1"/>
    <tableColumn name="Category" id="2"/>
    <tableColumn name="Source File" id="3"/>
    <tableColumn name="Source Column / Slot" id="4"/>
    <tableColumn name="Affected Occurrences at Location" id="5"/>
    <tableColumn name="Issue" id="6"/>
  </tableColumns>
  <tableStyleInfo name="Issue Locations-style" showColumnStripes="0" showFirstColumn="1" showLastColumn="1" showRowStripes="1"/>
</table>
</file>

<file path=xl/tables/table6.xml><?xml version="1.0" encoding="utf-8"?>
<table xmlns="http://schemas.openxmlformats.org/spreadsheetml/2006/main" ref="A5:G9" displayName="PropertyAddressSummaryTable" name="PropertyAddressSummaryTable" id="6">
  <tableColumns count="7">
    <tableColumn name="Source File" id="1"/>
    <tableColumn name="Usable Address Rows" id="2"/>
    <tableColumn name="Distinct Exact Keys" id="3"/>
    <tableColumn name="Rows in Repeated Keys" id="4"/>
    <tableColumn name="Repeated Key Groups" id="5"/>
    <tableColumn name="Distinct Candidate Keys" id="6"/>
    <tableColumn name="Candidate Reduction" id="7"/>
  </tableColumns>
  <tableStyleInfo name="Property Overlap-style" showColumnStripes="0" showFirstColumn="1" showLastColumn="1" showRowStripes="1"/>
</table>
</file>

<file path=xl/tables/table7.xml><?xml version="1.0" encoding="utf-8"?>
<table xmlns="http://schemas.openxmlformats.org/spreadsheetml/2006/main" ref="A12:E18" displayName="PropertyOverlapTable" name="PropertyOverlapTable" id="7">
  <tableColumns count="5">
    <tableColumn name="Source A" id="1"/>
    <tableColumn name="Source B" id="2"/>
    <tableColumn name="Exact Shared Keys" id="3"/>
    <tableColumn name="Candidate Shared Keys" id="4"/>
    <tableColumn name="Additional Candidate Estimate" id="5"/>
  </tableColumns>
  <tableStyleInfo name="Property Overlap-style 2" showColumnStripes="0" showFirstColumn="1" showLastColumn="1" showRowStripes="1"/>
</table>
</file>

<file path=xl/tables/table8.xml><?xml version="1.0" encoding="utf-8"?>
<table xmlns="http://schemas.openxmlformats.org/spreadsheetml/2006/main" ref="A5:F9" displayName="ContactInventoryTable" name="ContactInventoryTable" id="8">
  <tableColumns count="6">
    <tableColumn name="Source File" id="1"/>
    <tableColumn name="Contact / Owner Slots" id="2"/>
    <tableColumn name="Slots with Name" id="3"/>
    <tableColumn name="Slots with Explicit Company" id="4"/>
    <tableColumn name="Valid Phone Occurrences" id="5"/>
    <tableColumn name="Valid Email Occurrences" id="6"/>
  </tableColumns>
  <tableStyleInfo name="Contact Evidence-style" showColumnStripes="0" showFirstColumn="1" showLastColumn="1" showRowStripes="1"/>
</table>
</file>

<file path=xl/tables/table9.xml><?xml version="1.0" encoding="utf-8"?>
<table xmlns="http://schemas.openxmlformats.org/spreadsheetml/2006/main" ref="A12:D16" displayName="ScoreEvidenceTable" name="ScoreEvidenceTable" id="9">
  <tableColumns count="4">
    <tableColumn name="Field Type" id="1"/>
    <tableColumn name="Distribution: score → distinct values" id="2"/>
    <tableColumn name="Distinct Values" id="3"/>
    <tableColumn name="Method Note" id="4"/>
  </tableColumns>
  <tableStyleInfo name="Contact Evidence-style 2" showColumnStripes="0" showFirstColumn="1" showLastColumn="1" showRowStripes="1"/>
</table>
</file>

<file path=xl/tables/table10.xml><?xml version="1.0" encoding="utf-8"?>
<table xmlns="http://schemas.openxmlformats.org/spreadsheetml/2006/main" ref="A4:F77" displayName="CanonicalSchemaTable" name="CanonicalSchemaTable" id="10">
  <tableColumns count="6">
    <tableColumn name="Proposed Table" id="1"/>
    <tableColumn name="Field" id="2"/>
    <tableColumn name="Data Type" id="3"/>
    <tableColumn name="Description" id="4"/>
    <tableColumn name="Requirement" id="5"/>
    <tableColumn name="Notes / Guardrails" id="6"/>
  </tableColumns>
  <tableStyleInfo name="Canonical Schema-style" showColumnStripes="0" showFirstColumn="1" showLastColumn="1" showRowStripes="1"/>
</table>
</file>

<file path=xl/tables/table11.xml><?xml version="1.0" encoding="utf-8"?>
<table xmlns="http://schemas.openxmlformats.org/spreadsheetml/2006/main" ref="A4:F15" displayName="NormalizationRulesTable" name="NormalizationRulesTable" id="11">
  <tableColumns count="6">
    <tableColumn name="Rule ID" id="1"/>
    <tableColumn name="Domain" id="2"/>
    <tableColumn name="Proposed Deterministic Rule" id="3"/>
    <tableColumn name="Status" id="4"/>
    <tableColumn name="Approval Needed" id="5"/>
    <tableColumn name="Risk" id="6"/>
  </tableColumns>
  <tableStyleInfo name="Normalization Rules-style" showColumnStripes="0" showFirstColumn="1" showLastColumn="1" showRowStripes="1"/>
</table>
</file>

<file path=xl/tables/table12.xml><?xml version="1.0" encoding="utf-8"?>
<table xmlns="http://schemas.openxmlformats.org/spreadsheetml/2006/main" ref="A4:E14" displayName="MatchingRulesTable" name="MatchingRulesTable" id="12">
  <tableColumns count="5">
    <tableColumn name="Entity" id="1"/>
    <tableColumn name="Match / Review Level" id="2"/>
    <tableColumn name="Proposed Rule" id="3"/>
    <tableColumn name="Guardrails" id="4"/>
    <tableColumn name="Proposed Action" id="5"/>
  </tableColumns>
  <tableStyleInfo name="Matching Rules-style" showColumnStripes="0" showFirstColumn="1" showLastColumn="1" showRowStripes="1"/>
</table>
</file>

<file path=xl/tables/table13.xml><?xml version="1.0" encoding="utf-8"?>
<table xmlns="http://schemas.openxmlformats.org/spreadsheetml/2006/main" ref="A4:C10" displayName="ScoringRankingTable" name="ScoringRankingTable" id="13">
  <tableColumns count="3">
    <tableColumn name="Scoring / Ranking Component" id="1"/>
    <tableColumn name="Proposal" id="2"/>
    <tableColumn name="Approval Question" id="3"/>
  </tableColumns>
  <tableStyleInfo name="Scoring &amp; Ranking-style" showColumnStripes="0" showFirstColumn="1" showLastColumn="1" showRowStripes="1"/>
</table>
</file>

<file path=xl/tables/table14.xml><?xml version="1.0" encoding="utf-8"?>
<table xmlns="http://schemas.openxmlformats.org/spreadsheetml/2006/main" ref="A4:E16" displayName="DecisionsNeededTable" name="DecisionsNeededTable" id="14">
  <tableColumns count="5">
    <tableColumn name="Decision ID" id="1"/>
    <tableColumn name="Topic" id="2"/>
    <tableColumn name="Decision Needed" id="3"/>
    <tableColumn name="Recommendation" id="4"/>
    <tableColumn name="Impact" id="5"/>
  </tableColumns>
  <tableStyleInfo name="Decisions Needed-style" showColumnStripes="0" showFirstColumn="1" showLastColumn="1" showRowStripes="1"/>
</table>
</file>

<file path=xl/tables/table15.xml><?xml version="1.0" encoding="utf-8"?>
<table xmlns="http://schemas.openxmlformats.org/spreadsheetml/2006/main" ref="A4:C25" displayName="EstimatedEffectsTable" name="EstimatedEffectsTable" id="15">
  <tableColumns count="3">
    <tableColumn name="Metric" id="1"/>
    <tableColumn name="Estimated Count" id="2"/>
    <tableColumn name="Interpretation / Limitation" id="3"/>
  </tableColumns>
  <tableStyleInfo name="Estimated Effect-style" showColumnStripes="0" showFirstColumn="1" showLastColumn="1" showRowStripes="1"/>
</table>
</file>

<file path=xl/tables/table16.xml><?xml version="1.0" encoding="utf-8"?>
<table xmlns="http://schemas.openxmlformats.org/spreadsheetml/2006/main" ref="A4:D14" displayName="ImplementationPlanTable" name="ImplementationPlanTable" id="16">
  <tableColumns count="4">
    <tableColumn name="Step" id="1"/>
    <tableColumn name="Checkpoint" id="2"/>
    <tableColumn name="Action" id="3"/>
    <tableColumn name="Validation / Stop Condition" id="4"/>
  </tableColumns>
  <tableStyleInfo name="Implementation Plan-style" showColumnStripes="0" showFirstColumn="1" showLastColumn="1" showRowStripes="1"/>
</table>
</file>

<file path=xl/tables/table17.xml><?xml version="1.0" encoding="utf-8"?>
<table xmlns="http://schemas.openxmlformats.org/spreadsheetml/2006/main" ref="A4:L10" displayName="TransformationPreviewTable" name="TransformationPreviewTable" id="17">
  <tableColumns count="12">
    <tableColumn name="Source Record" id="1"/>
    <tableColumn name="Source Slot" id="2"/>
    <tableColumn name="Raw Property Address" id="3"/>
    <tableColumn name="Proposed Property Preview Key" id="4"/>
    <tableColumn name="Raw Contact Name" id="5"/>
    <tableColumn name="Proposed Contact Class" id="6"/>
    <tableColumn name="Proposed Phone Occurrences" id="7"/>
    <tableColumn name="Proposed Email Occurrences" id="8"/>
    <tableColumn name="Proposed Relationship" id="9"/>
    <tableColumn name="Review Flags" id="10"/>
    <tableColumn name="Traceability" id="11"/>
    <tableColumn name="Status" id="12"/>
  </tableColumns>
  <tableStyleInfo name="Transformation Preview-style" showColumnStripes="0" showFirstColumn="1" showLastColumn="1" showRowStripes="1"/>
</table>
</file>

<file path=xl/tables/table18.xml><?xml version="1.0" encoding="utf-8"?>
<table xmlns="http://schemas.openxmlformats.org/spreadsheetml/2006/main" ref="A4:E16" displayName="RoofExamplesTable" name="RoofExamplesTable" id="18">
  <tableColumns count="5">
    <tableColumn name="Source File" id="1"/>
    <tableColumn name="Source Column" id="2"/>
    <tableColumn name="Raw Roof Value" id="3"/>
    <tableColumn name="Proposed Normalized Preview" id="4"/>
    <tableColumn name="Status / Limitation" id="5"/>
  </tableColumns>
  <tableStyleInfo name="Roof Examples-style" showColumnStripes="0" showFirstColumn="1" showLastColumn="1" showRowStripes="1"/>
</table>
</file>

<file path=xl/tables/table19.xml><?xml version="1.0" encoding="utf-8"?>
<table xmlns="http://schemas.openxmlformats.org/spreadsheetml/2006/main" ref="A18:C24" displayName="ExecutiveFindingsTable" name="ExecutiveFindingsTable" id="19">
  <tableColumns count="3">
    <tableColumn name="Finding" id="1"/>
    <tableColumn name="Evidence" id="2"/>
    <tableColumn name="Implication" id="3"/>
  </tableColumns>
  <tableStyleInfo name="Executive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6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7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8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42.0"/>
    <col customWidth="1" min="3" max="3" width="14.0"/>
    <col customWidth="1" min="4" max="4" width="16.0"/>
    <col customWidth="1" min="5" max="5" width="10.0"/>
    <col customWidth="1" min="6" max="6" width="13.0"/>
    <col customWidth="1" min="7" max="8" width="11.0"/>
    <col customWidth="1" min="9" max="9" width="15.0"/>
    <col customWidth="1" min="10" max="11" width="20.0"/>
    <col customWidth="1" min="12" max="12" width="18.0"/>
    <col customWidth="1" min="13" max="13" width="16.0"/>
    <col customWidth="1" min="14" max="14" width="18.0"/>
    <col customWidth="1" min="15" max="15" width="22.0"/>
    <col customWidth="1" min="16" max="17" width="18.0"/>
    <col customWidth="1" min="18" max="18" width="22.0"/>
    <col customWidth="1" min="19" max="26" width="8.63"/>
  </cols>
  <sheetData>
    <row r="1" ht="31.5" customHeight="1">
      <c r="A1" s="1" t="s">
        <v>2</v>
      </c>
    </row>
    <row r="2" ht="33.75" customHeight="1">
      <c r="A2" s="2" t="s">
        <v>7</v>
      </c>
    </row>
    <row r="4" ht="30.0" customHeight="1">
      <c r="A4" s="3" t="s">
        <v>9</v>
      </c>
      <c r="B4" s="3" t="s">
        <v>11</v>
      </c>
      <c r="C4" s="5" t="s">
        <v>15</v>
      </c>
      <c r="D4" s="3" t="s">
        <v>29</v>
      </c>
      <c r="E4" s="3" t="s">
        <v>31</v>
      </c>
      <c r="F4" s="5" t="s">
        <v>34</v>
      </c>
      <c r="G4" s="5" t="s">
        <v>36</v>
      </c>
      <c r="H4" s="3" t="s">
        <v>39</v>
      </c>
      <c r="I4" s="4" t="s">
        <v>42</v>
      </c>
      <c r="J4" s="3" t="s">
        <v>44</v>
      </c>
      <c r="K4" s="3" t="s">
        <v>48</v>
      </c>
      <c r="L4" s="3" t="s">
        <v>50</v>
      </c>
      <c r="M4" s="4" t="s">
        <v>52</v>
      </c>
      <c r="N4" s="4" t="s">
        <v>53</v>
      </c>
      <c r="O4" s="4" t="s">
        <v>54</v>
      </c>
      <c r="P4" s="4" t="s">
        <v>55</v>
      </c>
      <c r="Q4" s="4" t="s">
        <v>56</v>
      </c>
      <c r="R4" s="3" t="s">
        <v>57</v>
      </c>
    </row>
    <row r="5">
      <c r="A5" s="7" t="s">
        <v>46</v>
      </c>
      <c r="B5" s="10" t="s">
        <v>59</v>
      </c>
      <c r="C5" s="11">
        <v>4.3088185E7</v>
      </c>
      <c r="D5" s="8" t="s">
        <v>64</v>
      </c>
      <c r="E5" s="8" t="s">
        <v>70</v>
      </c>
      <c r="F5" s="11">
        <v>8497.0</v>
      </c>
      <c r="G5" s="11">
        <v>88.0</v>
      </c>
      <c r="H5" s="8" t="s">
        <v>75</v>
      </c>
      <c r="I5" s="9">
        <v>0.0</v>
      </c>
      <c r="J5" s="10"/>
      <c r="K5" s="10"/>
      <c r="L5" s="10"/>
      <c r="M5" s="9">
        <v>0.0</v>
      </c>
      <c r="N5" s="9">
        <v>0.0</v>
      </c>
      <c r="O5" s="9">
        <v>0.0</v>
      </c>
      <c r="P5" s="9">
        <v>2.0</v>
      </c>
      <c r="Q5" s="9">
        <v>2.0</v>
      </c>
      <c r="R5" s="12" t="s">
        <v>78</v>
      </c>
    </row>
    <row r="6">
      <c r="A6" s="14" t="s">
        <v>79</v>
      </c>
      <c r="B6" s="17" t="s">
        <v>80</v>
      </c>
      <c r="C6" s="18">
        <v>5.016196E7</v>
      </c>
      <c r="D6" s="16" t="s">
        <v>64</v>
      </c>
      <c r="E6" s="16" t="s">
        <v>70</v>
      </c>
      <c r="F6" s="18">
        <v>10565.0</v>
      </c>
      <c r="G6" s="18">
        <v>26.0</v>
      </c>
      <c r="H6" s="16" t="s">
        <v>75</v>
      </c>
      <c r="I6" s="15">
        <v>0.0</v>
      </c>
      <c r="J6" s="17"/>
      <c r="K6" s="17"/>
      <c r="L6" s="17"/>
      <c r="M6" s="15">
        <v>0.0</v>
      </c>
      <c r="N6" s="15">
        <v>0.0</v>
      </c>
      <c r="O6" s="15">
        <v>0.0</v>
      </c>
      <c r="P6" s="15">
        <v>2.0</v>
      </c>
      <c r="Q6" s="15">
        <v>2.0</v>
      </c>
      <c r="R6" s="20" t="s">
        <v>78</v>
      </c>
    </row>
    <row r="7">
      <c r="A7" s="14" t="s">
        <v>97</v>
      </c>
      <c r="B7" s="17" t="s">
        <v>99</v>
      </c>
      <c r="C7" s="18">
        <v>1.2281391E7</v>
      </c>
      <c r="D7" s="16" t="s">
        <v>64</v>
      </c>
      <c r="E7" s="16" t="s">
        <v>70</v>
      </c>
      <c r="F7" s="18">
        <v>10565.0</v>
      </c>
      <c r="G7" s="18">
        <v>661.0</v>
      </c>
      <c r="H7" s="16" t="s">
        <v>75</v>
      </c>
      <c r="I7" s="15">
        <v>0.0</v>
      </c>
      <c r="J7" s="17"/>
      <c r="K7" s="17"/>
      <c r="L7" s="17"/>
      <c r="M7" s="15">
        <v>0.0</v>
      </c>
      <c r="N7" s="15">
        <v>0.0</v>
      </c>
      <c r="O7" s="15">
        <v>0.0</v>
      </c>
      <c r="P7" s="15">
        <v>1.0</v>
      </c>
      <c r="Q7" s="15">
        <v>450.0</v>
      </c>
      <c r="R7" s="20" t="s">
        <v>78</v>
      </c>
    </row>
    <row r="8">
      <c r="A8" s="21" t="s">
        <v>114</v>
      </c>
      <c r="B8" s="22" t="s">
        <v>119</v>
      </c>
      <c r="C8" s="23">
        <v>737837.0</v>
      </c>
      <c r="D8" s="24" t="s">
        <v>64</v>
      </c>
      <c r="E8" s="24" t="s">
        <v>70</v>
      </c>
      <c r="F8" s="23">
        <v>2122.0</v>
      </c>
      <c r="G8" s="23">
        <v>66.0</v>
      </c>
      <c r="H8" s="24" t="s">
        <v>75</v>
      </c>
      <c r="I8" s="25">
        <v>0.0</v>
      </c>
      <c r="J8" s="22"/>
      <c r="K8" s="22"/>
      <c r="L8" s="22"/>
      <c r="M8" s="25">
        <v>0.0</v>
      </c>
      <c r="N8" s="25">
        <v>0.0</v>
      </c>
      <c r="O8" s="25">
        <v>0.0</v>
      </c>
      <c r="P8" s="25">
        <v>0.0</v>
      </c>
      <c r="Q8" s="25">
        <v>1.0</v>
      </c>
      <c r="R8" s="26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BDF1346-0967-47CC-ADE8-C150BCDFAD0A}" filter="1" showAutoFilter="1">
      <autoFilter ref="$A$4:$R$8"/>
    </customSheetView>
  </customSheetViews>
  <mergeCells count="2">
    <mergeCell ref="A1:R1"/>
    <mergeCell ref="A2:R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10.0"/>
    <col customWidth="1" min="3" max="3" width="32.0"/>
    <col customWidth="1" min="4" max="4" width="18.0"/>
    <col customWidth="1" min="5" max="5" width="13.0"/>
    <col customWidth="1" min="6" max="6" width="11.0"/>
    <col customWidth="1" min="7" max="7" width="16.0"/>
    <col customWidth="1" min="8" max="8" width="17.0"/>
    <col customWidth="1" min="9" max="9" width="18.0"/>
    <col customWidth="1" min="10" max="10" width="16.0"/>
    <col customWidth="1" min="11" max="11" width="20.0"/>
    <col customWidth="1" min="12" max="12" width="34.0"/>
    <col customWidth="1" min="13" max="13" width="46.0"/>
    <col customWidth="1" min="14" max="26" width="8.63"/>
  </cols>
  <sheetData>
    <row r="1" ht="31.5" customHeight="1">
      <c r="A1" s="1" t="s">
        <v>3</v>
      </c>
    </row>
    <row r="2" ht="33.75" customHeight="1">
      <c r="A2" s="2" t="s">
        <v>6</v>
      </c>
    </row>
    <row r="4" ht="30.0" customHeight="1">
      <c r="A4" s="3" t="s">
        <v>9</v>
      </c>
      <c r="B4" s="4" t="s">
        <v>13</v>
      </c>
      <c r="C4" s="3" t="s">
        <v>17</v>
      </c>
      <c r="D4" s="3" t="s">
        <v>22</v>
      </c>
      <c r="E4" s="4" t="s">
        <v>25</v>
      </c>
      <c r="F4" s="6" t="s">
        <v>28</v>
      </c>
      <c r="G4" s="4" t="s">
        <v>37</v>
      </c>
      <c r="H4" s="4" t="s">
        <v>40</v>
      </c>
      <c r="I4" s="4" t="s">
        <v>43</v>
      </c>
      <c r="J4" s="4" t="s">
        <v>45</v>
      </c>
      <c r="K4" s="4" t="s">
        <v>47</v>
      </c>
      <c r="L4" s="3" t="s">
        <v>49</v>
      </c>
      <c r="M4" s="3" t="s">
        <v>20</v>
      </c>
    </row>
    <row r="5">
      <c r="A5" s="7" t="s">
        <v>46</v>
      </c>
      <c r="B5" s="9">
        <v>1.0</v>
      </c>
      <c r="C5" s="10" t="s">
        <v>60</v>
      </c>
      <c r="D5" s="8" t="s">
        <v>66</v>
      </c>
      <c r="E5" s="9">
        <v>0.0</v>
      </c>
      <c r="F5" s="13">
        <v>0.0</v>
      </c>
      <c r="G5" s="9">
        <v>0.0</v>
      </c>
      <c r="H5" s="9">
        <v>0.0</v>
      </c>
      <c r="I5" s="9">
        <v>8497.0</v>
      </c>
      <c r="J5" s="9">
        <v>0.0</v>
      </c>
      <c r="K5" s="9">
        <v>0.0</v>
      </c>
      <c r="L5" s="10" t="s">
        <v>82</v>
      </c>
      <c r="M5" s="12" t="s">
        <v>61</v>
      </c>
    </row>
    <row r="6">
      <c r="A6" s="14" t="s">
        <v>46</v>
      </c>
      <c r="B6" s="15">
        <v>2.0</v>
      </c>
      <c r="C6" s="17" t="s">
        <v>81</v>
      </c>
      <c r="D6" s="16" t="s">
        <v>68</v>
      </c>
      <c r="E6" s="15">
        <v>0.0</v>
      </c>
      <c r="F6" s="19">
        <v>0.0</v>
      </c>
      <c r="G6" s="15">
        <v>1.0</v>
      </c>
      <c r="H6" s="15">
        <v>0.0</v>
      </c>
      <c r="I6" s="15">
        <v>8372.0</v>
      </c>
      <c r="J6" s="15">
        <v>0.0</v>
      </c>
      <c r="K6" s="15">
        <v>0.0</v>
      </c>
      <c r="L6" s="17"/>
      <c r="M6" s="20" t="s">
        <v>84</v>
      </c>
    </row>
    <row r="7">
      <c r="A7" s="14" t="s">
        <v>46</v>
      </c>
      <c r="B7" s="15">
        <v>3.0</v>
      </c>
      <c r="C7" s="17" t="s">
        <v>95</v>
      </c>
      <c r="D7" s="16" t="s">
        <v>68</v>
      </c>
      <c r="E7" s="15">
        <v>1.0</v>
      </c>
      <c r="F7" s="19">
        <v>1.1768859597505002E-4</v>
      </c>
      <c r="G7" s="15">
        <v>0.0</v>
      </c>
      <c r="H7" s="15">
        <v>0.0</v>
      </c>
      <c r="I7" s="15">
        <v>474.0</v>
      </c>
      <c r="J7" s="15">
        <v>0.0</v>
      </c>
      <c r="K7" s="15">
        <v>0.0</v>
      </c>
      <c r="L7" s="17"/>
      <c r="M7" s="20" t="s">
        <v>96</v>
      </c>
    </row>
    <row r="8">
      <c r="A8" s="14" t="s">
        <v>46</v>
      </c>
      <c r="B8" s="15">
        <v>4.0</v>
      </c>
      <c r="C8" s="17" t="s">
        <v>113</v>
      </c>
      <c r="D8" s="16" t="s">
        <v>68</v>
      </c>
      <c r="E8" s="15">
        <v>0.0</v>
      </c>
      <c r="F8" s="19">
        <v>0.0</v>
      </c>
      <c r="G8" s="15">
        <v>0.0</v>
      </c>
      <c r="H8" s="15">
        <v>0.0</v>
      </c>
      <c r="I8" s="15">
        <v>5.0</v>
      </c>
      <c r="J8" s="15">
        <v>0.0</v>
      </c>
      <c r="K8" s="15">
        <v>0.0</v>
      </c>
      <c r="L8" s="17"/>
      <c r="M8" s="20" t="s">
        <v>115</v>
      </c>
    </row>
    <row r="9">
      <c r="A9" s="14" t="s">
        <v>46</v>
      </c>
      <c r="B9" s="15">
        <v>5.0</v>
      </c>
      <c r="C9" s="17" t="s">
        <v>126</v>
      </c>
      <c r="D9" s="16" t="s">
        <v>138</v>
      </c>
      <c r="E9" s="15">
        <v>528.0</v>
      </c>
      <c r="F9" s="19">
        <v>0.06213957867482641</v>
      </c>
      <c r="G9" s="15">
        <v>0.0</v>
      </c>
      <c r="H9" s="15">
        <v>0.0</v>
      </c>
      <c r="I9" s="15">
        <v>758.0</v>
      </c>
      <c r="J9" s="15">
        <v>0.0</v>
      </c>
      <c r="K9" s="15">
        <v>1.0</v>
      </c>
      <c r="L9" s="17" t="s">
        <v>146</v>
      </c>
      <c r="M9" s="20" t="s">
        <v>127</v>
      </c>
    </row>
    <row r="10">
      <c r="A10" s="14" t="s">
        <v>46</v>
      </c>
      <c r="B10" s="15">
        <v>6.0</v>
      </c>
      <c r="C10" s="17" t="s">
        <v>141</v>
      </c>
      <c r="D10" s="16" t="s">
        <v>68</v>
      </c>
      <c r="E10" s="15">
        <v>0.0</v>
      </c>
      <c r="F10" s="19">
        <v>0.0</v>
      </c>
      <c r="G10" s="15">
        <v>0.0</v>
      </c>
      <c r="H10" s="15">
        <v>0.0</v>
      </c>
      <c r="I10" s="15">
        <v>8287.0</v>
      </c>
      <c r="J10" s="15">
        <v>0.0</v>
      </c>
      <c r="K10" s="15">
        <v>0.0</v>
      </c>
      <c r="L10" s="17"/>
      <c r="M10" s="20" t="s">
        <v>143</v>
      </c>
    </row>
    <row r="11">
      <c r="A11" s="14" t="s">
        <v>46</v>
      </c>
      <c r="B11" s="15">
        <v>7.0</v>
      </c>
      <c r="C11" s="17" t="s">
        <v>151</v>
      </c>
      <c r="D11" s="16" t="s">
        <v>138</v>
      </c>
      <c r="E11" s="15">
        <v>0.0</v>
      </c>
      <c r="F11" s="19">
        <v>0.0</v>
      </c>
      <c r="G11" s="15">
        <v>0.0</v>
      </c>
      <c r="H11" s="15">
        <v>0.0</v>
      </c>
      <c r="I11" s="15">
        <v>4.0</v>
      </c>
      <c r="J11" s="15">
        <v>0.0</v>
      </c>
      <c r="K11" s="15">
        <v>0.0</v>
      </c>
      <c r="L11" s="17"/>
      <c r="M11" s="20" t="s">
        <v>153</v>
      </c>
    </row>
    <row r="12">
      <c r="A12" s="14" t="s">
        <v>46</v>
      </c>
      <c r="B12" s="15">
        <v>8.0</v>
      </c>
      <c r="C12" s="17" t="s">
        <v>158</v>
      </c>
      <c r="D12" s="16" t="s">
        <v>162</v>
      </c>
      <c r="E12" s="15">
        <v>0.0</v>
      </c>
      <c r="F12" s="19">
        <v>0.0</v>
      </c>
      <c r="G12" s="15">
        <v>0.0</v>
      </c>
      <c r="H12" s="15">
        <v>0.0</v>
      </c>
      <c r="I12" s="15">
        <v>8276.0</v>
      </c>
      <c r="J12" s="15">
        <v>0.0</v>
      </c>
      <c r="K12" s="15">
        <v>0.0</v>
      </c>
      <c r="L12" s="17"/>
      <c r="M12" s="20" t="s">
        <v>160</v>
      </c>
    </row>
    <row r="13">
      <c r="A13" s="14" t="s">
        <v>46</v>
      </c>
      <c r="B13" s="15">
        <v>9.0</v>
      </c>
      <c r="C13" s="17" t="s">
        <v>171</v>
      </c>
      <c r="D13" s="16" t="s">
        <v>162</v>
      </c>
      <c r="E13" s="15">
        <v>0.0</v>
      </c>
      <c r="F13" s="19">
        <v>0.0</v>
      </c>
      <c r="G13" s="15">
        <v>0.0</v>
      </c>
      <c r="H13" s="15">
        <v>0.0</v>
      </c>
      <c r="I13" s="15">
        <v>8238.0</v>
      </c>
      <c r="J13" s="15">
        <v>0.0</v>
      </c>
      <c r="K13" s="15">
        <v>0.0</v>
      </c>
      <c r="L13" s="17"/>
      <c r="M13" s="20" t="s">
        <v>173</v>
      </c>
    </row>
    <row r="14">
      <c r="A14" s="14" t="s">
        <v>46</v>
      </c>
      <c r="B14" s="15">
        <v>10.0</v>
      </c>
      <c r="C14" s="17" t="s">
        <v>178</v>
      </c>
      <c r="D14" s="16" t="s">
        <v>66</v>
      </c>
      <c r="E14" s="15">
        <v>0.0</v>
      </c>
      <c r="F14" s="19">
        <v>0.0</v>
      </c>
      <c r="G14" s="15">
        <v>0.0</v>
      </c>
      <c r="H14" s="15">
        <v>0.0</v>
      </c>
      <c r="I14" s="15">
        <v>120.0</v>
      </c>
      <c r="J14" s="15">
        <v>0.0</v>
      </c>
      <c r="K14" s="15">
        <v>0.0</v>
      </c>
      <c r="L14" s="17"/>
      <c r="M14" s="20" t="s">
        <v>179</v>
      </c>
    </row>
    <row r="15">
      <c r="A15" s="14" t="s">
        <v>46</v>
      </c>
      <c r="B15" s="15">
        <v>11.0</v>
      </c>
      <c r="C15" s="17" t="s">
        <v>185</v>
      </c>
      <c r="D15" s="16" t="s">
        <v>66</v>
      </c>
      <c r="E15" s="15">
        <v>0.0</v>
      </c>
      <c r="F15" s="19">
        <v>0.0</v>
      </c>
      <c r="G15" s="15">
        <v>0.0</v>
      </c>
      <c r="H15" s="15">
        <v>0.0</v>
      </c>
      <c r="I15" s="15">
        <v>66.0</v>
      </c>
      <c r="J15" s="15">
        <v>0.0</v>
      </c>
      <c r="K15" s="15">
        <v>0.0</v>
      </c>
      <c r="L15" s="17"/>
      <c r="M15" s="20" t="s">
        <v>187</v>
      </c>
    </row>
    <row r="16">
      <c r="A16" s="14" t="s">
        <v>46</v>
      </c>
      <c r="B16" s="15">
        <v>12.0</v>
      </c>
      <c r="C16" s="17" t="s">
        <v>191</v>
      </c>
      <c r="D16" s="16" t="s">
        <v>68</v>
      </c>
      <c r="E16" s="15">
        <v>0.0</v>
      </c>
      <c r="F16" s="19">
        <v>0.0</v>
      </c>
      <c r="G16" s="15">
        <v>0.0</v>
      </c>
      <c r="H16" s="15">
        <v>0.0</v>
      </c>
      <c r="I16" s="15">
        <v>3.0</v>
      </c>
      <c r="J16" s="15">
        <v>0.0</v>
      </c>
      <c r="K16" s="15">
        <v>0.0</v>
      </c>
      <c r="L16" s="17"/>
      <c r="M16" s="20" t="s">
        <v>192</v>
      </c>
    </row>
    <row r="17">
      <c r="A17" s="14" t="s">
        <v>46</v>
      </c>
      <c r="B17" s="15">
        <v>13.0</v>
      </c>
      <c r="C17" s="17" t="s">
        <v>198</v>
      </c>
      <c r="D17" s="16" t="s">
        <v>162</v>
      </c>
      <c r="E17" s="15">
        <v>0.0</v>
      </c>
      <c r="F17" s="19">
        <v>0.0</v>
      </c>
      <c r="G17" s="15">
        <v>0.0</v>
      </c>
      <c r="H17" s="15">
        <v>0.0</v>
      </c>
      <c r="I17" s="15">
        <v>258.0</v>
      </c>
      <c r="J17" s="15">
        <v>0.0</v>
      </c>
      <c r="K17" s="15">
        <v>0.0</v>
      </c>
      <c r="L17" s="17"/>
      <c r="M17" s="20" t="s">
        <v>200</v>
      </c>
    </row>
    <row r="18">
      <c r="A18" s="14" t="s">
        <v>46</v>
      </c>
      <c r="B18" s="15">
        <v>14.0</v>
      </c>
      <c r="C18" s="17" t="s">
        <v>207</v>
      </c>
      <c r="D18" s="16" t="s">
        <v>224</v>
      </c>
      <c r="E18" s="15">
        <v>0.0</v>
      </c>
      <c r="F18" s="19">
        <v>0.0</v>
      </c>
      <c r="G18" s="15">
        <v>0.0</v>
      </c>
      <c r="H18" s="15">
        <v>0.0</v>
      </c>
      <c r="I18" s="15">
        <v>300.0</v>
      </c>
      <c r="J18" s="15">
        <v>0.0</v>
      </c>
      <c r="K18" s="15">
        <v>0.0</v>
      </c>
      <c r="L18" s="17"/>
      <c r="M18" s="20" t="s">
        <v>209</v>
      </c>
    </row>
    <row r="19">
      <c r="A19" s="14" t="s">
        <v>46</v>
      </c>
      <c r="B19" s="15">
        <v>15.0</v>
      </c>
      <c r="C19" s="17" t="s">
        <v>223</v>
      </c>
      <c r="D19" s="16" t="s">
        <v>224</v>
      </c>
      <c r="E19" s="15">
        <v>0.0</v>
      </c>
      <c r="F19" s="19">
        <v>0.0</v>
      </c>
      <c r="G19" s="15">
        <v>0.0</v>
      </c>
      <c r="H19" s="15">
        <v>0.0</v>
      </c>
      <c r="I19" s="15">
        <v>174.0</v>
      </c>
      <c r="J19" s="15">
        <v>0.0</v>
      </c>
      <c r="K19" s="15">
        <v>0.0</v>
      </c>
      <c r="L19" s="17"/>
      <c r="M19" s="20" t="s">
        <v>225</v>
      </c>
    </row>
    <row r="20">
      <c r="A20" s="14" t="s">
        <v>46</v>
      </c>
      <c r="B20" s="15">
        <v>16.0</v>
      </c>
      <c r="C20" s="17" t="s">
        <v>236</v>
      </c>
      <c r="D20" s="16" t="s">
        <v>162</v>
      </c>
      <c r="E20" s="15">
        <v>0.0</v>
      </c>
      <c r="F20" s="19">
        <v>0.0</v>
      </c>
      <c r="G20" s="15">
        <v>0.0</v>
      </c>
      <c r="H20" s="15">
        <v>0.0</v>
      </c>
      <c r="I20" s="15">
        <v>184.0</v>
      </c>
      <c r="J20" s="15">
        <v>0.0</v>
      </c>
      <c r="K20" s="15">
        <v>0.0</v>
      </c>
      <c r="L20" s="17"/>
      <c r="M20" s="20" t="s">
        <v>237</v>
      </c>
    </row>
    <row r="21" ht="15.75" customHeight="1">
      <c r="A21" s="14" t="s">
        <v>46</v>
      </c>
      <c r="B21" s="15">
        <v>17.0</v>
      </c>
      <c r="C21" s="17" t="s">
        <v>247</v>
      </c>
      <c r="D21" s="16" t="s">
        <v>66</v>
      </c>
      <c r="E21" s="15">
        <v>0.0</v>
      </c>
      <c r="F21" s="19">
        <v>0.0</v>
      </c>
      <c r="G21" s="15">
        <v>0.0</v>
      </c>
      <c r="H21" s="15">
        <v>0.0</v>
      </c>
      <c r="I21" s="15">
        <v>174.0</v>
      </c>
      <c r="J21" s="15">
        <v>0.0</v>
      </c>
      <c r="K21" s="15">
        <v>0.0</v>
      </c>
      <c r="L21" s="17"/>
      <c r="M21" s="20" t="s">
        <v>249</v>
      </c>
    </row>
    <row r="22" ht="15.75" customHeight="1">
      <c r="A22" s="14" t="s">
        <v>46</v>
      </c>
      <c r="B22" s="15">
        <v>18.0</v>
      </c>
      <c r="C22" s="17" t="s">
        <v>259</v>
      </c>
      <c r="D22" s="16" t="s">
        <v>66</v>
      </c>
      <c r="E22" s="15">
        <v>0.0</v>
      </c>
      <c r="F22" s="19">
        <v>0.0</v>
      </c>
      <c r="G22" s="15">
        <v>0.0</v>
      </c>
      <c r="H22" s="15">
        <v>0.0</v>
      </c>
      <c r="I22" s="15">
        <v>190.0</v>
      </c>
      <c r="J22" s="15">
        <v>0.0</v>
      </c>
      <c r="K22" s="15">
        <v>0.0</v>
      </c>
      <c r="L22" s="17"/>
      <c r="M22" s="20" t="s">
        <v>260</v>
      </c>
    </row>
    <row r="23" ht="15.75" customHeight="1">
      <c r="A23" s="14" t="s">
        <v>46</v>
      </c>
      <c r="B23" s="15">
        <v>19.0</v>
      </c>
      <c r="C23" s="17" t="s">
        <v>270</v>
      </c>
      <c r="D23" s="16" t="s">
        <v>66</v>
      </c>
      <c r="E23" s="15">
        <v>0.0</v>
      </c>
      <c r="F23" s="19">
        <v>0.0</v>
      </c>
      <c r="G23" s="15">
        <v>0.0</v>
      </c>
      <c r="H23" s="15">
        <v>0.0</v>
      </c>
      <c r="I23" s="15">
        <v>129.0</v>
      </c>
      <c r="J23" s="15">
        <v>0.0</v>
      </c>
      <c r="K23" s="15">
        <v>0.0</v>
      </c>
      <c r="L23" s="17"/>
      <c r="M23" s="20" t="s">
        <v>179</v>
      </c>
    </row>
    <row r="24" ht="15.75" customHeight="1">
      <c r="A24" s="14" t="s">
        <v>46</v>
      </c>
      <c r="B24" s="15">
        <v>20.0</v>
      </c>
      <c r="C24" s="17" t="s">
        <v>282</v>
      </c>
      <c r="D24" s="16" t="s">
        <v>66</v>
      </c>
      <c r="E24" s="15">
        <v>0.0</v>
      </c>
      <c r="F24" s="19">
        <v>0.0</v>
      </c>
      <c r="G24" s="15">
        <v>0.0</v>
      </c>
      <c r="H24" s="15">
        <v>0.0</v>
      </c>
      <c r="I24" s="15">
        <v>61.0</v>
      </c>
      <c r="J24" s="15">
        <v>0.0</v>
      </c>
      <c r="K24" s="15">
        <v>0.0</v>
      </c>
      <c r="L24" s="17"/>
      <c r="M24" s="20" t="s">
        <v>283</v>
      </c>
    </row>
    <row r="25" ht="15.75" customHeight="1">
      <c r="A25" s="14" t="s">
        <v>46</v>
      </c>
      <c r="B25" s="15">
        <v>21.0</v>
      </c>
      <c r="C25" s="17" t="s">
        <v>294</v>
      </c>
      <c r="D25" s="16" t="s">
        <v>66</v>
      </c>
      <c r="E25" s="15">
        <v>0.0</v>
      </c>
      <c r="F25" s="19">
        <v>0.0</v>
      </c>
      <c r="G25" s="15">
        <v>0.0</v>
      </c>
      <c r="H25" s="15">
        <v>0.0</v>
      </c>
      <c r="I25" s="15">
        <v>122.0</v>
      </c>
      <c r="J25" s="15">
        <v>0.0</v>
      </c>
      <c r="K25" s="15">
        <v>0.0</v>
      </c>
      <c r="L25" s="17"/>
      <c r="M25" s="20" t="s">
        <v>296</v>
      </c>
    </row>
    <row r="26" ht="15.75" customHeight="1">
      <c r="A26" s="14" t="s">
        <v>46</v>
      </c>
      <c r="B26" s="15">
        <v>22.0</v>
      </c>
      <c r="C26" s="17" t="s">
        <v>308</v>
      </c>
      <c r="D26" s="16" t="s">
        <v>316</v>
      </c>
      <c r="E26" s="15">
        <v>0.0</v>
      </c>
      <c r="F26" s="19">
        <v>0.0</v>
      </c>
      <c r="G26" s="15">
        <v>0.0</v>
      </c>
      <c r="H26" s="15">
        <v>0.0</v>
      </c>
      <c r="I26" s="15">
        <v>8275.0</v>
      </c>
      <c r="J26" s="15">
        <v>0.0</v>
      </c>
      <c r="K26" s="15">
        <v>0.0</v>
      </c>
      <c r="L26" s="17"/>
      <c r="M26" s="20" t="s">
        <v>310</v>
      </c>
    </row>
    <row r="27" ht="15.75" customHeight="1">
      <c r="A27" s="14" t="s">
        <v>46</v>
      </c>
      <c r="B27" s="15">
        <v>23.0</v>
      </c>
      <c r="C27" s="17" t="s">
        <v>319</v>
      </c>
      <c r="D27" s="16" t="s">
        <v>68</v>
      </c>
      <c r="E27" s="15">
        <v>0.0</v>
      </c>
      <c r="F27" s="19">
        <v>0.0</v>
      </c>
      <c r="G27" s="15">
        <v>0.0</v>
      </c>
      <c r="H27" s="15">
        <v>0.0</v>
      </c>
      <c r="I27" s="15">
        <v>1.0</v>
      </c>
      <c r="J27" s="15">
        <v>0.0</v>
      </c>
      <c r="K27" s="15">
        <v>0.0</v>
      </c>
      <c r="L27" s="17"/>
      <c r="M27" s="20" t="s">
        <v>320</v>
      </c>
    </row>
    <row r="28" ht="15.75" customHeight="1">
      <c r="A28" s="14" t="s">
        <v>46</v>
      </c>
      <c r="B28" s="15">
        <v>24.0</v>
      </c>
      <c r="C28" s="17" t="s">
        <v>329</v>
      </c>
      <c r="D28" s="16" t="s">
        <v>341</v>
      </c>
      <c r="E28" s="15">
        <v>8497.0</v>
      </c>
      <c r="F28" s="19">
        <v>1.0</v>
      </c>
      <c r="G28" s="15">
        <v>0.0</v>
      </c>
      <c r="H28" s="15">
        <v>0.0</v>
      </c>
      <c r="I28" s="15">
        <v>0.0</v>
      </c>
      <c r="J28" s="15">
        <v>0.0</v>
      </c>
      <c r="K28" s="15">
        <v>0.0</v>
      </c>
      <c r="L28" s="17"/>
      <c r="M28" s="20"/>
    </row>
    <row r="29" ht="15.75" customHeight="1">
      <c r="A29" s="14" t="s">
        <v>46</v>
      </c>
      <c r="B29" s="15">
        <v>25.0</v>
      </c>
      <c r="C29" s="17" t="s">
        <v>339</v>
      </c>
      <c r="D29" s="16" t="s">
        <v>341</v>
      </c>
      <c r="E29" s="15">
        <v>8497.0</v>
      </c>
      <c r="F29" s="19">
        <v>1.0</v>
      </c>
      <c r="G29" s="15">
        <v>0.0</v>
      </c>
      <c r="H29" s="15">
        <v>0.0</v>
      </c>
      <c r="I29" s="15">
        <v>0.0</v>
      </c>
      <c r="J29" s="15">
        <v>0.0</v>
      </c>
      <c r="K29" s="15">
        <v>0.0</v>
      </c>
      <c r="L29" s="17"/>
      <c r="M29" s="20"/>
    </row>
    <row r="30" ht="15.75" customHeight="1">
      <c r="A30" s="14" t="s">
        <v>46</v>
      </c>
      <c r="B30" s="15">
        <v>26.0</v>
      </c>
      <c r="C30" s="17" t="s">
        <v>349</v>
      </c>
      <c r="D30" s="16" t="s">
        <v>361</v>
      </c>
      <c r="E30" s="15">
        <v>0.0</v>
      </c>
      <c r="F30" s="19">
        <v>0.0</v>
      </c>
      <c r="G30" s="15">
        <v>0.0</v>
      </c>
      <c r="H30" s="15">
        <v>0.0</v>
      </c>
      <c r="I30" s="15">
        <v>8497.0</v>
      </c>
      <c r="J30" s="15">
        <v>0.0</v>
      </c>
      <c r="K30" s="15">
        <v>0.0</v>
      </c>
      <c r="L30" s="17"/>
      <c r="M30" s="20" t="s">
        <v>350</v>
      </c>
    </row>
    <row r="31" ht="15.75" customHeight="1">
      <c r="A31" s="14" t="s">
        <v>46</v>
      </c>
      <c r="B31" s="15">
        <v>27.0</v>
      </c>
      <c r="C31" s="17" t="s">
        <v>354</v>
      </c>
      <c r="D31" s="16" t="s">
        <v>357</v>
      </c>
      <c r="E31" s="15">
        <v>0.0</v>
      </c>
      <c r="F31" s="19">
        <v>0.0</v>
      </c>
      <c r="G31" s="15">
        <v>0.0</v>
      </c>
      <c r="H31" s="15">
        <v>0.0</v>
      </c>
      <c r="I31" s="15">
        <v>2.0</v>
      </c>
      <c r="J31" s="15">
        <v>0.0</v>
      </c>
      <c r="K31" s="15">
        <v>0.0</v>
      </c>
      <c r="L31" s="17"/>
      <c r="M31" s="20" t="s">
        <v>355</v>
      </c>
    </row>
    <row r="32" ht="15.75" customHeight="1">
      <c r="A32" s="14" t="s">
        <v>46</v>
      </c>
      <c r="B32" s="15">
        <v>28.0</v>
      </c>
      <c r="C32" s="17" t="s">
        <v>363</v>
      </c>
      <c r="D32" s="16" t="s">
        <v>66</v>
      </c>
      <c r="E32" s="15">
        <v>0.0</v>
      </c>
      <c r="F32" s="19">
        <v>0.0</v>
      </c>
      <c r="G32" s="15">
        <v>0.0</v>
      </c>
      <c r="H32" s="15">
        <v>0.0</v>
      </c>
      <c r="I32" s="15">
        <v>4.0</v>
      </c>
      <c r="J32" s="15">
        <v>0.0</v>
      </c>
      <c r="K32" s="15">
        <v>0.0</v>
      </c>
      <c r="L32" s="17"/>
      <c r="M32" s="20" t="s">
        <v>364</v>
      </c>
    </row>
    <row r="33" ht="15.75" customHeight="1">
      <c r="A33" s="14" t="s">
        <v>46</v>
      </c>
      <c r="B33" s="15">
        <v>29.0</v>
      </c>
      <c r="C33" s="17" t="s">
        <v>348</v>
      </c>
      <c r="D33" s="16" t="s">
        <v>68</v>
      </c>
      <c r="E33" s="15">
        <v>1240.0</v>
      </c>
      <c r="F33" s="19">
        <v>0.14593385900906203</v>
      </c>
      <c r="G33" s="15">
        <v>0.0</v>
      </c>
      <c r="H33" s="15">
        <v>0.0</v>
      </c>
      <c r="I33" s="15">
        <v>6299.0</v>
      </c>
      <c r="J33" s="15">
        <v>17.0</v>
      </c>
      <c r="K33" s="15">
        <v>300.0</v>
      </c>
      <c r="L33" s="17"/>
      <c r="M33" s="20" t="s">
        <v>368</v>
      </c>
    </row>
    <row r="34" ht="15.75" customHeight="1">
      <c r="A34" s="14" t="s">
        <v>46</v>
      </c>
      <c r="B34" s="15">
        <v>30.0</v>
      </c>
      <c r="C34" s="17" t="s">
        <v>321</v>
      </c>
      <c r="D34" s="16" t="s">
        <v>361</v>
      </c>
      <c r="E34" s="15">
        <v>3271.0</v>
      </c>
      <c r="F34" s="19">
        <v>0.3849593974343886</v>
      </c>
      <c r="G34" s="15">
        <v>0.0</v>
      </c>
      <c r="H34" s="15">
        <v>0.0</v>
      </c>
      <c r="I34" s="15">
        <v>4048.0</v>
      </c>
      <c r="J34" s="15">
        <v>0.0</v>
      </c>
      <c r="K34" s="15">
        <v>5226.0</v>
      </c>
      <c r="L34" s="17"/>
      <c r="M34" s="20" t="s">
        <v>376</v>
      </c>
    </row>
    <row r="35" ht="15.75" customHeight="1">
      <c r="A35" s="14" t="s">
        <v>46</v>
      </c>
      <c r="B35" s="15">
        <v>31.0</v>
      </c>
      <c r="C35" s="17" t="s">
        <v>383</v>
      </c>
      <c r="D35" s="16" t="s">
        <v>138</v>
      </c>
      <c r="E35" s="15">
        <v>1455.0</v>
      </c>
      <c r="F35" s="19">
        <v>0.17123690714369777</v>
      </c>
      <c r="G35" s="15">
        <v>0.0</v>
      </c>
      <c r="H35" s="15">
        <v>0.0</v>
      </c>
      <c r="I35" s="15">
        <v>6111.0</v>
      </c>
      <c r="J35" s="15">
        <v>0.0</v>
      </c>
      <c r="K35" s="15">
        <v>0.0</v>
      </c>
      <c r="L35" s="17"/>
      <c r="M35" s="20" t="s">
        <v>385</v>
      </c>
    </row>
    <row r="36" ht="15.75" customHeight="1">
      <c r="A36" s="14" t="s">
        <v>46</v>
      </c>
      <c r="B36" s="15">
        <v>32.0</v>
      </c>
      <c r="C36" s="17" t="s">
        <v>390</v>
      </c>
      <c r="D36" s="16" t="s">
        <v>138</v>
      </c>
      <c r="E36" s="15">
        <v>1455.0</v>
      </c>
      <c r="F36" s="19">
        <v>0.17123690714369777</v>
      </c>
      <c r="G36" s="15">
        <v>0.0</v>
      </c>
      <c r="H36" s="15">
        <v>0.0</v>
      </c>
      <c r="I36" s="15">
        <v>2.0</v>
      </c>
      <c r="J36" s="15">
        <v>0.0</v>
      </c>
      <c r="K36" s="15">
        <v>0.0</v>
      </c>
      <c r="L36" s="17"/>
      <c r="M36" s="20" t="s">
        <v>391</v>
      </c>
    </row>
    <row r="37" ht="15.75" customHeight="1">
      <c r="A37" s="14" t="s">
        <v>46</v>
      </c>
      <c r="B37" s="15">
        <v>33.0</v>
      </c>
      <c r="C37" s="17" t="s">
        <v>397</v>
      </c>
      <c r="D37" s="16" t="s">
        <v>138</v>
      </c>
      <c r="E37" s="15">
        <v>1455.0</v>
      </c>
      <c r="F37" s="19">
        <v>0.17123690714369777</v>
      </c>
      <c r="G37" s="15">
        <v>0.0</v>
      </c>
      <c r="H37" s="15">
        <v>0.0</v>
      </c>
      <c r="I37" s="15">
        <v>2.0</v>
      </c>
      <c r="J37" s="15">
        <v>0.0</v>
      </c>
      <c r="K37" s="15">
        <v>0.0</v>
      </c>
      <c r="L37" s="17"/>
      <c r="M37" s="20" t="s">
        <v>398</v>
      </c>
    </row>
    <row r="38" ht="15.75" customHeight="1">
      <c r="A38" s="14" t="s">
        <v>46</v>
      </c>
      <c r="B38" s="15">
        <v>34.0</v>
      </c>
      <c r="C38" s="17" t="s">
        <v>405</v>
      </c>
      <c r="D38" s="16" t="s">
        <v>138</v>
      </c>
      <c r="E38" s="15">
        <v>2227.0</v>
      </c>
      <c r="F38" s="19">
        <v>0.2620925032364364</v>
      </c>
      <c r="G38" s="15">
        <v>0.0</v>
      </c>
      <c r="H38" s="15">
        <v>0.0</v>
      </c>
      <c r="I38" s="15">
        <v>5443.0</v>
      </c>
      <c r="J38" s="15">
        <v>0.0</v>
      </c>
      <c r="K38" s="15">
        <v>0.0</v>
      </c>
      <c r="L38" s="17"/>
      <c r="M38" s="20" t="s">
        <v>406</v>
      </c>
    </row>
    <row r="39" ht="15.75" customHeight="1">
      <c r="A39" s="14" t="s">
        <v>46</v>
      </c>
      <c r="B39" s="15">
        <v>35.0</v>
      </c>
      <c r="C39" s="17" t="s">
        <v>408</v>
      </c>
      <c r="D39" s="16" t="s">
        <v>138</v>
      </c>
      <c r="E39" s="15">
        <v>2227.0</v>
      </c>
      <c r="F39" s="19">
        <v>0.2620925032364364</v>
      </c>
      <c r="G39" s="15">
        <v>0.0</v>
      </c>
      <c r="H39" s="15">
        <v>0.0</v>
      </c>
      <c r="I39" s="15">
        <v>2.0</v>
      </c>
      <c r="J39" s="15">
        <v>0.0</v>
      </c>
      <c r="K39" s="15">
        <v>0.0</v>
      </c>
      <c r="L39" s="17"/>
      <c r="M39" s="20" t="s">
        <v>391</v>
      </c>
    </row>
    <row r="40" ht="15.75" customHeight="1">
      <c r="A40" s="14" t="s">
        <v>46</v>
      </c>
      <c r="B40" s="15">
        <v>36.0</v>
      </c>
      <c r="C40" s="17" t="s">
        <v>410</v>
      </c>
      <c r="D40" s="16" t="s">
        <v>138</v>
      </c>
      <c r="E40" s="15">
        <v>2227.0</v>
      </c>
      <c r="F40" s="19">
        <v>0.2620925032364364</v>
      </c>
      <c r="G40" s="15">
        <v>0.0</v>
      </c>
      <c r="H40" s="15">
        <v>0.0</v>
      </c>
      <c r="I40" s="15">
        <v>2.0</v>
      </c>
      <c r="J40" s="15">
        <v>0.0</v>
      </c>
      <c r="K40" s="15">
        <v>0.0</v>
      </c>
      <c r="L40" s="17"/>
      <c r="M40" s="20" t="s">
        <v>398</v>
      </c>
    </row>
    <row r="41" ht="15.75" customHeight="1">
      <c r="A41" s="14" t="s">
        <v>46</v>
      </c>
      <c r="B41" s="15">
        <v>37.0</v>
      </c>
      <c r="C41" s="17" t="s">
        <v>411</v>
      </c>
      <c r="D41" s="16" t="s">
        <v>138</v>
      </c>
      <c r="E41" s="15">
        <v>2660.0</v>
      </c>
      <c r="F41" s="19">
        <v>0.31305166529363304</v>
      </c>
      <c r="G41" s="15">
        <v>0.0</v>
      </c>
      <c r="H41" s="15">
        <v>0.0</v>
      </c>
      <c r="I41" s="15">
        <v>5067.0</v>
      </c>
      <c r="J41" s="15">
        <v>0.0</v>
      </c>
      <c r="K41" s="15">
        <v>0.0</v>
      </c>
      <c r="L41" s="17"/>
      <c r="M41" s="20" t="s">
        <v>412</v>
      </c>
    </row>
    <row r="42" ht="15.75" customHeight="1">
      <c r="A42" s="14" t="s">
        <v>46</v>
      </c>
      <c r="B42" s="15">
        <v>38.0</v>
      </c>
      <c r="C42" s="17" t="s">
        <v>415</v>
      </c>
      <c r="D42" s="16" t="s">
        <v>138</v>
      </c>
      <c r="E42" s="15">
        <v>2660.0</v>
      </c>
      <c r="F42" s="19">
        <v>0.31305166529363304</v>
      </c>
      <c r="G42" s="15">
        <v>0.0</v>
      </c>
      <c r="H42" s="15">
        <v>0.0</v>
      </c>
      <c r="I42" s="15">
        <v>2.0</v>
      </c>
      <c r="J42" s="15">
        <v>0.0</v>
      </c>
      <c r="K42" s="15">
        <v>0.0</v>
      </c>
      <c r="L42" s="17"/>
      <c r="M42" s="20" t="s">
        <v>391</v>
      </c>
    </row>
    <row r="43" ht="15.75" customHeight="1">
      <c r="A43" s="14" t="s">
        <v>46</v>
      </c>
      <c r="B43" s="15">
        <v>39.0</v>
      </c>
      <c r="C43" s="17" t="s">
        <v>416</v>
      </c>
      <c r="D43" s="16" t="s">
        <v>138</v>
      </c>
      <c r="E43" s="15">
        <v>2660.0</v>
      </c>
      <c r="F43" s="19">
        <v>0.31305166529363304</v>
      </c>
      <c r="G43" s="15">
        <v>0.0</v>
      </c>
      <c r="H43" s="15">
        <v>0.0</v>
      </c>
      <c r="I43" s="15">
        <v>2.0</v>
      </c>
      <c r="J43" s="15">
        <v>0.0</v>
      </c>
      <c r="K43" s="15">
        <v>0.0</v>
      </c>
      <c r="L43" s="17"/>
      <c r="M43" s="20" t="s">
        <v>398</v>
      </c>
    </row>
    <row r="44" ht="15.75" customHeight="1">
      <c r="A44" s="14" t="s">
        <v>46</v>
      </c>
      <c r="B44" s="15">
        <v>40.0</v>
      </c>
      <c r="C44" s="17" t="s">
        <v>417</v>
      </c>
      <c r="D44" s="16" t="s">
        <v>138</v>
      </c>
      <c r="E44" s="15">
        <v>3275.0</v>
      </c>
      <c r="F44" s="19">
        <v>0.3854301518182888</v>
      </c>
      <c r="G44" s="15">
        <v>0.0</v>
      </c>
      <c r="H44" s="15">
        <v>0.0</v>
      </c>
      <c r="I44" s="15">
        <v>4532.0</v>
      </c>
      <c r="J44" s="15">
        <v>0.0</v>
      </c>
      <c r="K44" s="15">
        <v>0.0</v>
      </c>
      <c r="L44" s="17"/>
      <c r="M44" s="20" t="s">
        <v>418</v>
      </c>
    </row>
    <row r="45" ht="15.75" customHeight="1">
      <c r="A45" s="14" t="s">
        <v>46</v>
      </c>
      <c r="B45" s="15">
        <v>41.0</v>
      </c>
      <c r="C45" s="17" t="s">
        <v>423</v>
      </c>
      <c r="D45" s="16" t="s">
        <v>138</v>
      </c>
      <c r="E45" s="15">
        <v>3275.0</v>
      </c>
      <c r="F45" s="19">
        <v>0.3854301518182888</v>
      </c>
      <c r="G45" s="15">
        <v>0.0</v>
      </c>
      <c r="H45" s="15">
        <v>0.0</v>
      </c>
      <c r="I45" s="15">
        <v>2.0</v>
      </c>
      <c r="J45" s="15">
        <v>0.0</v>
      </c>
      <c r="K45" s="15">
        <v>0.0</v>
      </c>
      <c r="L45" s="17"/>
      <c r="M45" s="20" t="s">
        <v>424</v>
      </c>
    </row>
    <row r="46" ht="15.75" customHeight="1">
      <c r="A46" s="14" t="s">
        <v>46</v>
      </c>
      <c r="B46" s="15">
        <v>42.0</v>
      </c>
      <c r="C46" s="17" t="s">
        <v>432</v>
      </c>
      <c r="D46" s="16" t="s">
        <v>138</v>
      </c>
      <c r="E46" s="15">
        <v>3275.0</v>
      </c>
      <c r="F46" s="19">
        <v>0.3854301518182888</v>
      </c>
      <c r="G46" s="15">
        <v>0.0</v>
      </c>
      <c r="H46" s="15">
        <v>0.0</v>
      </c>
      <c r="I46" s="15">
        <v>2.0</v>
      </c>
      <c r="J46" s="15">
        <v>0.0</v>
      </c>
      <c r="K46" s="15">
        <v>0.0</v>
      </c>
      <c r="L46" s="17"/>
      <c r="M46" s="20" t="s">
        <v>398</v>
      </c>
    </row>
    <row r="47" ht="15.75" customHeight="1">
      <c r="A47" s="14" t="s">
        <v>46</v>
      </c>
      <c r="B47" s="15">
        <v>43.0</v>
      </c>
      <c r="C47" s="17" t="s">
        <v>434</v>
      </c>
      <c r="D47" s="16" t="s">
        <v>138</v>
      </c>
      <c r="E47" s="15">
        <v>4177.0</v>
      </c>
      <c r="F47" s="19">
        <v>0.4915852653877839</v>
      </c>
      <c r="G47" s="15">
        <v>0.0</v>
      </c>
      <c r="H47" s="15">
        <v>0.0</v>
      </c>
      <c r="I47" s="15">
        <v>3769.0</v>
      </c>
      <c r="J47" s="15">
        <v>0.0</v>
      </c>
      <c r="K47" s="15">
        <v>0.0</v>
      </c>
      <c r="L47" s="17"/>
      <c r="M47" s="20" t="s">
        <v>436</v>
      </c>
    </row>
    <row r="48" ht="15.75" customHeight="1">
      <c r="A48" s="14" t="s">
        <v>46</v>
      </c>
      <c r="B48" s="15">
        <v>44.0</v>
      </c>
      <c r="C48" s="17" t="s">
        <v>437</v>
      </c>
      <c r="D48" s="16" t="s">
        <v>138</v>
      </c>
      <c r="E48" s="15">
        <v>4177.0</v>
      </c>
      <c r="F48" s="19">
        <v>0.4915852653877839</v>
      </c>
      <c r="G48" s="15">
        <v>0.0</v>
      </c>
      <c r="H48" s="15">
        <v>0.0</v>
      </c>
      <c r="I48" s="15">
        <v>2.0</v>
      </c>
      <c r="J48" s="15">
        <v>0.0</v>
      </c>
      <c r="K48" s="15">
        <v>0.0</v>
      </c>
      <c r="L48" s="17"/>
      <c r="M48" s="20" t="s">
        <v>424</v>
      </c>
    </row>
    <row r="49" ht="15.75" customHeight="1">
      <c r="A49" s="14" t="s">
        <v>46</v>
      </c>
      <c r="B49" s="15">
        <v>45.0</v>
      </c>
      <c r="C49" s="17" t="s">
        <v>438</v>
      </c>
      <c r="D49" s="16" t="s">
        <v>138</v>
      </c>
      <c r="E49" s="15">
        <v>4177.0</v>
      </c>
      <c r="F49" s="19">
        <v>0.4915852653877839</v>
      </c>
      <c r="G49" s="15">
        <v>0.0</v>
      </c>
      <c r="H49" s="15">
        <v>0.0</v>
      </c>
      <c r="I49" s="15">
        <v>2.0</v>
      </c>
      <c r="J49" s="15">
        <v>0.0</v>
      </c>
      <c r="K49" s="15">
        <v>0.0</v>
      </c>
      <c r="L49" s="17"/>
      <c r="M49" s="20" t="s">
        <v>398</v>
      </c>
    </row>
    <row r="50" ht="15.75" customHeight="1">
      <c r="A50" s="14" t="s">
        <v>46</v>
      </c>
      <c r="B50" s="15">
        <v>46.0</v>
      </c>
      <c r="C50" s="17" t="s">
        <v>439</v>
      </c>
      <c r="D50" s="16" t="s">
        <v>458</v>
      </c>
      <c r="E50" s="15">
        <v>2065.0</v>
      </c>
      <c r="F50" s="19">
        <v>0.2430269506884783</v>
      </c>
      <c r="G50" s="15">
        <v>0.0</v>
      </c>
      <c r="H50" s="15">
        <v>0.0</v>
      </c>
      <c r="I50" s="15">
        <v>5564.0</v>
      </c>
      <c r="J50" s="15">
        <v>0.0</v>
      </c>
      <c r="K50" s="15">
        <v>0.0</v>
      </c>
      <c r="L50" s="17"/>
      <c r="M50" s="20" t="s">
        <v>440</v>
      </c>
    </row>
    <row r="51" ht="15.75" customHeight="1">
      <c r="A51" s="14" t="s">
        <v>46</v>
      </c>
      <c r="B51" s="15">
        <v>47.0</v>
      </c>
      <c r="C51" s="17" t="s">
        <v>448</v>
      </c>
      <c r="D51" s="16" t="s">
        <v>458</v>
      </c>
      <c r="E51" s="15">
        <v>3230.0</v>
      </c>
      <c r="F51" s="19">
        <v>0.38013416499941155</v>
      </c>
      <c r="G51" s="15">
        <v>0.0</v>
      </c>
      <c r="H51" s="15">
        <v>0.0</v>
      </c>
      <c r="I51" s="15">
        <v>4552.0</v>
      </c>
      <c r="J51" s="15">
        <v>0.0</v>
      </c>
      <c r="K51" s="15">
        <v>0.0</v>
      </c>
      <c r="L51" s="17"/>
      <c r="M51" s="20" t="s">
        <v>450</v>
      </c>
    </row>
    <row r="52" ht="15.75" customHeight="1">
      <c r="A52" s="14" t="s">
        <v>46</v>
      </c>
      <c r="B52" s="15">
        <v>48.0</v>
      </c>
      <c r="C52" s="17" t="s">
        <v>452</v>
      </c>
      <c r="D52" s="16" t="s">
        <v>458</v>
      </c>
      <c r="E52" s="15">
        <v>4063.0</v>
      </c>
      <c r="F52" s="19">
        <v>0.47816876544662823</v>
      </c>
      <c r="G52" s="15">
        <v>0.0</v>
      </c>
      <c r="H52" s="15">
        <v>0.0</v>
      </c>
      <c r="I52" s="15">
        <v>3807.0</v>
      </c>
      <c r="J52" s="15">
        <v>0.0</v>
      </c>
      <c r="K52" s="15">
        <v>0.0</v>
      </c>
      <c r="L52" s="17"/>
      <c r="M52" s="20" t="s">
        <v>453</v>
      </c>
    </row>
    <row r="53" ht="15.75" customHeight="1">
      <c r="A53" s="14" t="s">
        <v>46</v>
      </c>
      <c r="B53" s="15">
        <v>49.0</v>
      </c>
      <c r="C53" s="17" t="s">
        <v>353</v>
      </c>
      <c r="D53" s="16" t="s">
        <v>68</v>
      </c>
      <c r="E53" s="15">
        <v>4292.0</v>
      </c>
      <c r="F53" s="19">
        <v>0.5051194539249146</v>
      </c>
      <c r="G53" s="15">
        <v>0.0</v>
      </c>
      <c r="H53" s="15">
        <v>0.0</v>
      </c>
      <c r="I53" s="15">
        <v>3488.0</v>
      </c>
      <c r="J53" s="15">
        <v>15.0</v>
      </c>
      <c r="K53" s="15">
        <v>192.0</v>
      </c>
      <c r="L53" s="17"/>
      <c r="M53" s="20" t="s">
        <v>456</v>
      </c>
    </row>
    <row r="54" ht="15.75" customHeight="1">
      <c r="A54" s="14" t="s">
        <v>46</v>
      </c>
      <c r="B54" s="15">
        <v>50.0</v>
      </c>
      <c r="C54" s="17" t="s">
        <v>332</v>
      </c>
      <c r="D54" s="16" t="s">
        <v>361</v>
      </c>
      <c r="E54" s="15">
        <v>4947.0</v>
      </c>
      <c r="F54" s="19">
        <v>0.5822054842885724</v>
      </c>
      <c r="G54" s="15">
        <v>0.0</v>
      </c>
      <c r="H54" s="15">
        <v>0.0</v>
      </c>
      <c r="I54" s="15">
        <v>2783.0</v>
      </c>
      <c r="J54" s="15">
        <v>0.0</v>
      </c>
      <c r="K54" s="15">
        <v>3550.0</v>
      </c>
      <c r="L54" s="17"/>
      <c r="M54" s="20" t="s">
        <v>460</v>
      </c>
    </row>
    <row r="55" ht="15.75" customHeight="1">
      <c r="A55" s="14" t="s">
        <v>46</v>
      </c>
      <c r="B55" s="15">
        <v>51.0</v>
      </c>
      <c r="C55" s="17" t="s">
        <v>464</v>
      </c>
      <c r="D55" s="16" t="s">
        <v>138</v>
      </c>
      <c r="E55" s="15">
        <v>4417.0</v>
      </c>
      <c r="F55" s="19">
        <v>0.5198305284217959</v>
      </c>
      <c r="G55" s="15">
        <v>0.0</v>
      </c>
      <c r="H55" s="15">
        <v>0.0</v>
      </c>
      <c r="I55" s="15">
        <v>3382.0</v>
      </c>
      <c r="J55" s="15">
        <v>0.0</v>
      </c>
      <c r="K55" s="15">
        <v>0.0</v>
      </c>
      <c r="L55" s="17"/>
      <c r="M55" s="20" t="s">
        <v>465</v>
      </c>
    </row>
    <row r="56" ht="15.75" customHeight="1">
      <c r="A56" s="14" t="s">
        <v>46</v>
      </c>
      <c r="B56" s="15">
        <v>52.0</v>
      </c>
      <c r="C56" s="17" t="s">
        <v>468</v>
      </c>
      <c r="D56" s="16" t="s">
        <v>138</v>
      </c>
      <c r="E56" s="15">
        <v>4417.0</v>
      </c>
      <c r="F56" s="19">
        <v>0.5198305284217959</v>
      </c>
      <c r="G56" s="15">
        <v>0.0</v>
      </c>
      <c r="H56" s="15">
        <v>0.0</v>
      </c>
      <c r="I56" s="15">
        <v>2.0</v>
      </c>
      <c r="J56" s="15">
        <v>0.0</v>
      </c>
      <c r="K56" s="15">
        <v>0.0</v>
      </c>
      <c r="L56" s="17"/>
      <c r="M56" s="20" t="s">
        <v>391</v>
      </c>
    </row>
    <row r="57" ht="15.75" customHeight="1">
      <c r="A57" s="14" t="s">
        <v>46</v>
      </c>
      <c r="B57" s="15">
        <v>53.0</v>
      </c>
      <c r="C57" s="17" t="s">
        <v>472</v>
      </c>
      <c r="D57" s="16" t="s">
        <v>138</v>
      </c>
      <c r="E57" s="15">
        <v>4417.0</v>
      </c>
      <c r="F57" s="19">
        <v>0.5198305284217959</v>
      </c>
      <c r="G57" s="15">
        <v>0.0</v>
      </c>
      <c r="H57" s="15">
        <v>0.0</v>
      </c>
      <c r="I57" s="15">
        <v>2.0</v>
      </c>
      <c r="J57" s="15">
        <v>0.0</v>
      </c>
      <c r="K57" s="15">
        <v>0.0</v>
      </c>
      <c r="L57" s="17"/>
      <c r="M57" s="20" t="s">
        <v>398</v>
      </c>
    </row>
    <row r="58" ht="15.75" customHeight="1">
      <c r="A58" s="14" t="s">
        <v>46</v>
      </c>
      <c r="B58" s="15">
        <v>54.0</v>
      </c>
      <c r="C58" s="17" t="s">
        <v>475</v>
      </c>
      <c r="D58" s="16" t="s">
        <v>138</v>
      </c>
      <c r="E58" s="15">
        <v>5037.0</v>
      </c>
      <c r="F58" s="19">
        <v>0.592797457926327</v>
      </c>
      <c r="G58" s="15">
        <v>0.0</v>
      </c>
      <c r="H58" s="15">
        <v>0.0</v>
      </c>
      <c r="I58" s="15">
        <v>2890.0</v>
      </c>
      <c r="J58" s="15">
        <v>0.0</v>
      </c>
      <c r="K58" s="15">
        <v>0.0</v>
      </c>
      <c r="L58" s="17"/>
      <c r="M58" s="20" t="s">
        <v>477</v>
      </c>
    </row>
    <row r="59" ht="15.75" customHeight="1">
      <c r="A59" s="14" t="s">
        <v>46</v>
      </c>
      <c r="B59" s="15">
        <v>55.0</v>
      </c>
      <c r="C59" s="17" t="s">
        <v>479</v>
      </c>
      <c r="D59" s="16" t="s">
        <v>138</v>
      </c>
      <c r="E59" s="15">
        <v>5037.0</v>
      </c>
      <c r="F59" s="19">
        <v>0.592797457926327</v>
      </c>
      <c r="G59" s="15">
        <v>0.0</v>
      </c>
      <c r="H59" s="15">
        <v>0.0</v>
      </c>
      <c r="I59" s="15">
        <v>2.0</v>
      </c>
      <c r="J59" s="15">
        <v>0.0</v>
      </c>
      <c r="K59" s="15">
        <v>0.0</v>
      </c>
      <c r="L59" s="17"/>
      <c r="M59" s="20" t="s">
        <v>424</v>
      </c>
    </row>
    <row r="60" ht="15.75" customHeight="1">
      <c r="A60" s="14" t="s">
        <v>46</v>
      </c>
      <c r="B60" s="15">
        <v>56.0</v>
      </c>
      <c r="C60" s="17" t="s">
        <v>482</v>
      </c>
      <c r="D60" s="16" t="s">
        <v>138</v>
      </c>
      <c r="E60" s="15">
        <v>5037.0</v>
      </c>
      <c r="F60" s="19">
        <v>0.592797457926327</v>
      </c>
      <c r="G60" s="15">
        <v>0.0</v>
      </c>
      <c r="H60" s="15">
        <v>0.0</v>
      </c>
      <c r="I60" s="15">
        <v>2.0</v>
      </c>
      <c r="J60" s="15">
        <v>0.0</v>
      </c>
      <c r="K60" s="15">
        <v>0.0</v>
      </c>
      <c r="L60" s="17"/>
      <c r="M60" s="20" t="s">
        <v>398</v>
      </c>
    </row>
    <row r="61" ht="15.75" customHeight="1">
      <c r="A61" s="14" t="s">
        <v>46</v>
      </c>
      <c r="B61" s="15">
        <v>57.0</v>
      </c>
      <c r="C61" s="17" t="s">
        <v>485</v>
      </c>
      <c r="D61" s="16" t="s">
        <v>138</v>
      </c>
      <c r="E61" s="15">
        <v>5385.0</v>
      </c>
      <c r="F61" s="19">
        <v>0.6337530893256443</v>
      </c>
      <c r="G61" s="15">
        <v>0.0</v>
      </c>
      <c r="H61" s="15">
        <v>0.0</v>
      </c>
      <c r="I61" s="15">
        <v>2576.0</v>
      </c>
      <c r="J61" s="15">
        <v>0.0</v>
      </c>
      <c r="K61" s="15">
        <v>0.0</v>
      </c>
      <c r="L61" s="17"/>
      <c r="M61" s="20" t="s">
        <v>486</v>
      </c>
    </row>
    <row r="62" ht="15.75" customHeight="1">
      <c r="A62" s="14" t="s">
        <v>46</v>
      </c>
      <c r="B62" s="15">
        <v>58.0</v>
      </c>
      <c r="C62" s="17" t="s">
        <v>488</v>
      </c>
      <c r="D62" s="16" t="s">
        <v>138</v>
      </c>
      <c r="E62" s="15">
        <v>5385.0</v>
      </c>
      <c r="F62" s="19">
        <v>0.6337530893256443</v>
      </c>
      <c r="G62" s="15">
        <v>0.0</v>
      </c>
      <c r="H62" s="15">
        <v>0.0</v>
      </c>
      <c r="I62" s="15">
        <v>2.0</v>
      </c>
      <c r="J62" s="15">
        <v>0.0</v>
      </c>
      <c r="K62" s="15">
        <v>0.0</v>
      </c>
      <c r="L62" s="17"/>
      <c r="M62" s="20" t="s">
        <v>424</v>
      </c>
    </row>
    <row r="63" ht="15.75" customHeight="1">
      <c r="A63" s="14" t="s">
        <v>46</v>
      </c>
      <c r="B63" s="15">
        <v>59.0</v>
      </c>
      <c r="C63" s="17" t="s">
        <v>490</v>
      </c>
      <c r="D63" s="16" t="s">
        <v>138</v>
      </c>
      <c r="E63" s="15">
        <v>5385.0</v>
      </c>
      <c r="F63" s="19">
        <v>0.6337530893256443</v>
      </c>
      <c r="G63" s="15">
        <v>0.0</v>
      </c>
      <c r="H63" s="15">
        <v>0.0</v>
      </c>
      <c r="I63" s="15">
        <v>2.0</v>
      </c>
      <c r="J63" s="15">
        <v>0.0</v>
      </c>
      <c r="K63" s="15">
        <v>0.0</v>
      </c>
      <c r="L63" s="17"/>
      <c r="M63" s="20" t="s">
        <v>398</v>
      </c>
    </row>
    <row r="64" ht="15.75" customHeight="1">
      <c r="A64" s="14" t="s">
        <v>46</v>
      </c>
      <c r="B64" s="15">
        <v>60.0</v>
      </c>
      <c r="C64" s="17" t="s">
        <v>493</v>
      </c>
      <c r="D64" s="16" t="s">
        <v>138</v>
      </c>
      <c r="E64" s="15">
        <v>5737.0</v>
      </c>
      <c r="F64" s="19">
        <v>0.675179475108862</v>
      </c>
      <c r="G64" s="15">
        <v>0.0</v>
      </c>
      <c r="H64" s="15">
        <v>0.0</v>
      </c>
      <c r="I64" s="15">
        <v>2279.0</v>
      </c>
      <c r="J64" s="15">
        <v>0.0</v>
      </c>
      <c r="K64" s="15">
        <v>0.0</v>
      </c>
      <c r="L64" s="17"/>
      <c r="M64" s="20" t="s">
        <v>494</v>
      </c>
    </row>
    <row r="65" ht="15.75" customHeight="1">
      <c r="A65" s="14" t="s">
        <v>46</v>
      </c>
      <c r="B65" s="15">
        <v>61.0</v>
      </c>
      <c r="C65" s="17" t="s">
        <v>496</v>
      </c>
      <c r="D65" s="16" t="s">
        <v>138</v>
      </c>
      <c r="E65" s="15">
        <v>5737.0</v>
      </c>
      <c r="F65" s="19">
        <v>0.675179475108862</v>
      </c>
      <c r="G65" s="15">
        <v>0.0</v>
      </c>
      <c r="H65" s="15">
        <v>0.0</v>
      </c>
      <c r="I65" s="15">
        <v>2.0</v>
      </c>
      <c r="J65" s="15">
        <v>0.0</v>
      </c>
      <c r="K65" s="15">
        <v>0.0</v>
      </c>
      <c r="L65" s="17"/>
      <c r="M65" s="20" t="s">
        <v>424</v>
      </c>
    </row>
    <row r="66" ht="15.75" customHeight="1">
      <c r="A66" s="14" t="s">
        <v>46</v>
      </c>
      <c r="B66" s="15">
        <v>62.0</v>
      </c>
      <c r="C66" s="17" t="s">
        <v>498</v>
      </c>
      <c r="D66" s="16" t="s">
        <v>138</v>
      </c>
      <c r="E66" s="15">
        <v>5737.0</v>
      </c>
      <c r="F66" s="19">
        <v>0.675179475108862</v>
      </c>
      <c r="G66" s="15">
        <v>0.0</v>
      </c>
      <c r="H66" s="15">
        <v>0.0</v>
      </c>
      <c r="I66" s="15">
        <v>2.0</v>
      </c>
      <c r="J66" s="15">
        <v>0.0</v>
      </c>
      <c r="K66" s="15">
        <v>0.0</v>
      </c>
      <c r="L66" s="17"/>
      <c r="M66" s="20" t="s">
        <v>398</v>
      </c>
    </row>
    <row r="67" ht="15.75" customHeight="1">
      <c r="A67" s="14" t="s">
        <v>46</v>
      </c>
      <c r="B67" s="15">
        <v>63.0</v>
      </c>
      <c r="C67" s="17" t="s">
        <v>501</v>
      </c>
      <c r="D67" s="16" t="s">
        <v>138</v>
      </c>
      <c r="E67" s="15">
        <v>6322.0</v>
      </c>
      <c r="F67" s="19">
        <v>0.7440273037542662</v>
      </c>
      <c r="G67" s="15">
        <v>0.0</v>
      </c>
      <c r="H67" s="15">
        <v>0.0</v>
      </c>
      <c r="I67" s="15">
        <v>1808.0</v>
      </c>
      <c r="J67" s="15">
        <v>0.0</v>
      </c>
      <c r="K67" s="15">
        <v>0.0</v>
      </c>
      <c r="L67" s="17"/>
      <c r="M67" s="20" t="s">
        <v>502</v>
      </c>
    </row>
    <row r="68" ht="15.75" customHeight="1">
      <c r="A68" s="14" t="s">
        <v>46</v>
      </c>
      <c r="B68" s="15">
        <v>64.0</v>
      </c>
      <c r="C68" s="17" t="s">
        <v>504</v>
      </c>
      <c r="D68" s="16" t="s">
        <v>138</v>
      </c>
      <c r="E68" s="15">
        <v>6322.0</v>
      </c>
      <c r="F68" s="19">
        <v>0.7440273037542662</v>
      </c>
      <c r="G68" s="15">
        <v>0.0</v>
      </c>
      <c r="H68" s="15">
        <v>0.0</v>
      </c>
      <c r="I68" s="15">
        <v>2.0</v>
      </c>
      <c r="J68" s="15">
        <v>0.0</v>
      </c>
      <c r="K68" s="15">
        <v>0.0</v>
      </c>
      <c r="L68" s="17"/>
      <c r="M68" s="20" t="s">
        <v>424</v>
      </c>
    </row>
    <row r="69" ht="15.75" customHeight="1">
      <c r="A69" s="14" t="s">
        <v>46</v>
      </c>
      <c r="B69" s="15">
        <v>65.0</v>
      </c>
      <c r="C69" s="17" t="s">
        <v>505</v>
      </c>
      <c r="D69" s="16" t="s">
        <v>138</v>
      </c>
      <c r="E69" s="15">
        <v>6322.0</v>
      </c>
      <c r="F69" s="19">
        <v>0.7440273037542662</v>
      </c>
      <c r="G69" s="15">
        <v>0.0</v>
      </c>
      <c r="H69" s="15">
        <v>0.0</v>
      </c>
      <c r="I69" s="15">
        <v>2.0</v>
      </c>
      <c r="J69" s="15">
        <v>0.0</v>
      </c>
      <c r="K69" s="15">
        <v>0.0</v>
      </c>
      <c r="L69" s="17"/>
      <c r="M69" s="20" t="s">
        <v>398</v>
      </c>
    </row>
    <row r="70" ht="15.75" customHeight="1">
      <c r="A70" s="14" t="s">
        <v>46</v>
      </c>
      <c r="B70" s="15">
        <v>66.0</v>
      </c>
      <c r="C70" s="17" t="s">
        <v>509</v>
      </c>
      <c r="D70" s="16" t="s">
        <v>458</v>
      </c>
      <c r="E70" s="15">
        <v>4926.0</v>
      </c>
      <c r="F70" s="19">
        <v>0.5797340237730964</v>
      </c>
      <c r="G70" s="15">
        <v>0.0</v>
      </c>
      <c r="H70" s="15">
        <v>0.0</v>
      </c>
      <c r="I70" s="15">
        <v>2969.0</v>
      </c>
      <c r="J70" s="15">
        <v>0.0</v>
      </c>
      <c r="K70" s="15">
        <v>0.0</v>
      </c>
      <c r="L70" s="17"/>
      <c r="M70" s="20" t="s">
        <v>515</v>
      </c>
    </row>
    <row r="71" ht="15.75" customHeight="1">
      <c r="A71" s="14" t="s">
        <v>46</v>
      </c>
      <c r="B71" s="15">
        <v>67.0</v>
      </c>
      <c r="C71" s="17" t="s">
        <v>516</v>
      </c>
      <c r="D71" s="16" t="s">
        <v>458</v>
      </c>
      <c r="E71" s="15">
        <v>5752.0</v>
      </c>
      <c r="F71" s="19">
        <v>0.6769448040484877</v>
      </c>
      <c r="G71" s="15">
        <v>0.0</v>
      </c>
      <c r="H71" s="15">
        <v>0.0</v>
      </c>
      <c r="I71" s="15">
        <v>2265.0</v>
      </c>
      <c r="J71" s="15">
        <v>0.0</v>
      </c>
      <c r="K71" s="15">
        <v>0.0</v>
      </c>
      <c r="L71" s="17"/>
      <c r="M71" s="20" t="s">
        <v>519</v>
      </c>
    </row>
    <row r="72" ht="15.75" customHeight="1">
      <c r="A72" s="14" t="s">
        <v>46</v>
      </c>
      <c r="B72" s="15">
        <v>68.0</v>
      </c>
      <c r="C72" s="17" t="s">
        <v>518</v>
      </c>
      <c r="D72" s="16" t="s">
        <v>458</v>
      </c>
      <c r="E72" s="15">
        <v>6351.0</v>
      </c>
      <c r="F72" s="19">
        <v>0.7474402730375427</v>
      </c>
      <c r="G72" s="15">
        <v>0.0</v>
      </c>
      <c r="H72" s="15">
        <v>0.0</v>
      </c>
      <c r="I72" s="15">
        <v>1776.0</v>
      </c>
      <c r="J72" s="15">
        <v>0.0</v>
      </c>
      <c r="K72" s="15">
        <v>0.0</v>
      </c>
      <c r="L72" s="17"/>
      <c r="M72" s="20" t="s">
        <v>526</v>
      </c>
    </row>
    <row r="73" ht="15.75" customHeight="1">
      <c r="A73" s="14" t="s">
        <v>46</v>
      </c>
      <c r="B73" s="15">
        <v>69.0</v>
      </c>
      <c r="C73" s="17" t="s">
        <v>359</v>
      </c>
      <c r="D73" s="16" t="s">
        <v>68</v>
      </c>
      <c r="E73" s="15">
        <v>5247.0</v>
      </c>
      <c r="F73" s="19">
        <v>0.6175120630810874</v>
      </c>
      <c r="G73" s="15">
        <v>0.0</v>
      </c>
      <c r="H73" s="15">
        <v>0.0</v>
      </c>
      <c r="I73" s="15">
        <v>2669.0</v>
      </c>
      <c r="J73" s="15">
        <v>8.0</v>
      </c>
      <c r="K73" s="15">
        <v>149.0</v>
      </c>
      <c r="L73" s="17"/>
      <c r="M73" s="20" t="s">
        <v>534</v>
      </c>
    </row>
    <row r="74" ht="15.75" customHeight="1">
      <c r="A74" s="14" t="s">
        <v>46</v>
      </c>
      <c r="B74" s="15">
        <v>70.0</v>
      </c>
      <c r="C74" s="17" t="s">
        <v>340</v>
      </c>
      <c r="D74" s="16" t="s">
        <v>361</v>
      </c>
      <c r="E74" s="15">
        <v>5884.0</v>
      </c>
      <c r="F74" s="19">
        <v>0.6924796987171943</v>
      </c>
      <c r="G74" s="15">
        <v>0.0</v>
      </c>
      <c r="H74" s="15">
        <v>0.0</v>
      </c>
      <c r="I74" s="15">
        <v>2055.0</v>
      </c>
      <c r="J74" s="15">
        <v>0.0</v>
      </c>
      <c r="K74" s="15">
        <v>2613.0</v>
      </c>
      <c r="L74" s="17"/>
      <c r="M74" s="20" t="s">
        <v>546</v>
      </c>
    </row>
    <row r="75" ht="15.75" customHeight="1">
      <c r="A75" s="14" t="s">
        <v>46</v>
      </c>
      <c r="B75" s="15">
        <v>71.0</v>
      </c>
      <c r="C75" s="17" t="s">
        <v>550</v>
      </c>
      <c r="D75" s="16" t="s">
        <v>138</v>
      </c>
      <c r="E75" s="15">
        <v>5376.0</v>
      </c>
      <c r="F75" s="19">
        <v>0.6326938919618689</v>
      </c>
      <c r="G75" s="15">
        <v>0.0</v>
      </c>
      <c r="H75" s="15">
        <v>0.0</v>
      </c>
      <c r="I75" s="15">
        <v>2565.0</v>
      </c>
      <c r="J75" s="15">
        <v>0.0</v>
      </c>
      <c r="K75" s="15">
        <v>0.0</v>
      </c>
      <c r="L75" s="17"/>
      <c r="M75" s="20" t="s">
        <v>551</v>
      </c>
    </row>
    <row r="76" ht="15.75" customHeight="1">
      <c r="A76" s="14" t="s">
        <v>46</v>
      </c>
      <c r="B76" s="15">
        <v>72.0</v>
      </c>
      <c r="C76" s="17" t="s">
        <v>555</v>
      </c>
      <c r="D76" s="16" t="s">
        <v>138</v>
      </c>
      <c r="E76" s="15">
        <v>5376.0</v>
      </c>
      <c r="F76" s="19">
        <v>0.6326938919618689</v>
      </c>
      <c r="G76" s="15">
        <v>0.0</v>
      </c>
      <c r="H76" s="15">
        <v>0.0</v>
      </c>
      <c r="I76" s="15">
        <v>2.0</v>
      </c>
      <c r="J76" s="15">
        <v>0.0</v>
      </c>
      <c r="K76" s="15">
        <v>0.0</v>
      </c>
      <c r="L76" s="17"/>
      <c r="M76" s="20" t="s">
        <v>424</v>
      </c>
    </row>
    <row r="77" ht="15.75" customHeight="1">
      <c r="A77" s="14" t="s">
        <v>46</v>
      </c>
      <c r="B77" s="15">
        <v>73.0</v>
      </c>
      <c r="C77" s="17" t="s">
        <v>559</v>
      </c>
      <c r="D77" s="16" t="s">
        <v>138</v>
      </c>
      <c r="E77" s="15">
        <v>5376.0</v>
      </c>
      <c r="F77" s="19">
        <v>0.6326938919618689</v>
      </c>
      <c r="G77" s="15">
        <v>0.0</v>
      </c>
      <c r="H77" s="15">
        <v>0.0</v>
      </c>
      <c r="I77" s="15">
        <v>2.0</v>
      </c>
      <c r="J77" s="15">
        <v>0.0</v>
      </c>
      <c r="K77" s="15">
        <v>0.0</v>
      </c>
      <c r="L77" s="17"/>
      <c r="M77" s="20" t="s">
        <v>398</v>
      </c>
    </row>
    <row r="78" ht="15.75" customHeight="1">
      <c r="A78" s="14" t="s">
        <v>46</v>
      </c>
      <c r="B78" s="15">
        <v>74.0</v>
      </c>
      <c r="C78" s="17" t="s">
        <v>564</v>
      </c>
      <c r="D78" s="16" t="s">
        <v>138</v>
      </c>
      <c r="E78" s="15">
        <v>5949.0</v>
      </c>
      <c r="F78" s="19">
        <v>0.7001294574555725</v>
      </c>
      <c r="G78" s="15">
        <v>0.0</v>
      </c>
      <c r="H78" s="15">
        <v>0.0</v>
      </c>
      <c r="I78" s="15">
        <v>2079.0</v>
      </c>
      <c r="J78" s="15">
        <v>0.0</v>
      </c>
      <c r="K78" s="15">
        <v>0.0</v>
      </c>
      <c r="L78" s="17"/>
      <c r="M78" s="20" t="s">
        <v>565</v>
      </c>
    </row>
    <row r="79" ht="15.75" customHeight="1">
      <c r="A79" s="14" t="s">
        <v>46</v>
      </c>
      <c r="B79" s="15">
        <v>75.0</v>
      </c>
      <c r="C79" s="17" t="s">
        <v>568</v>
      </c>
      <c r="D79" s="16" t="s">
        <v>138</v>
      </c>
      <c r="E79" s="15">
        <v>5949.0</v>
      </c>
      <c r="F79" s="19">
        <v>0.7001294574555725</v>
      </c>
      <c r="G79" s="15">
        <v>0.0</v>
      </c>
      <c r="H79" s="15">
        <v>0.0</v>
      </c>
      <c r="I79" s="15">
        <v>2.0</v>
      </c>
      <c r="J79" s="15">
        <v>0.0</v>
      </c>
      <c r="K79" s="15">
        <v>0.0</v>
      </c>
      <c r="L79" s="17"/>
      <c r="M79" s="20" t="s">
        <v>391</v>
      </c>
    </row>
    <row r="80" ht="15.75" customHeight="1">
      <c r="A80" s="14" t="s">
        <v>46</v>
      </c>
      <c r="B80" s="15">
        <v>76.0</v>
      </c>
      <c r="C80" s="17" t="s">
        <v>572</v>
      </c>
      <c r="D80" s="16" t="s">
        <v>138</v>
      </c>
      <c r="E80" s="15">
        <v>5949.0</v>
      </c>
      <c r="F80" s="19">
        <v>0.7001294574555725</v>
      </c>
      <c r="G80" s="15">
        <v>0.0</v>
      </c>
      <c r="H80" s="15">
        <v>0.0</v>
      </c>
      <c r="I80" s="15">
        <v>2.0</v>
      </c>
      <c r="J80" s="15">
        <v>0.0</v>
      </c>
      <c r="K80" s="15">
        <v>0.0</v>
      </c>
      <c r="L80" s="17"/>
      <c r="M80" s="20" t="s">
        <v>398</v>
      </c>
    </row>
    <row r="81" ht="15.75" customHeight="1">
      <c r="A81" s="14" t="s">
        <v>46</v>
      </c>
      <c r="B81" s="15">
        <v>77.0</v>
      </c>
      <c r="C81" s="17" t="s">
        <v>575</v>
      </c>
      <c r="D81" s="16" t="s">
        <v>138</v>
      </c>
      <c r="E81" s="15">
        <v>6259.0</v>
      </c>
      <c r="F81" s="19">
        <v>0.736612922207838</v>
      </c>
      <c r="G81" s="15">
        <v>0.0</v>
      </c>
      <c r="H81" s="15">
        <v>0.0</v>
      </c>
      <c r="I81" s="15">
        <v>1826.0</v>
      </c>
      <c r="J81" s="15">
        <v>0.0</v>
      </c>
      <c r="K81" s="15">
        <v>0.0</v>
      </c>
      <c r="L81" s="17"/>
      <c r="M81" s="20" t="s">
        <v>576</v>
      </c>
    </row>
    <row r="82" ht="15.75" customHeight="1">
      <c r="A82" s="14" t="s">
        <v>46</v>
      </c>
      <c r="B82" s="15">
        <v>78.0</v>
      </c>
      <c r="C82" s="17" t="s">
        <v>578</v>
      </c>
      <c r="D82" s="16" t="s">
        <v>138</v>
      </c>
      <c r="E82" s="15">
        <v>6259.0</v>
      </c>
      <c r="F82" s="19">
        <v>0.736612922207838</v>
      </c>
      <c r="G82" s="15">
        <v>0.0</v>
      </c>
      <c r="H82" s="15">
        <v>0.0</v>
      </c>
      <c r="I82" s="15">
        <v>2.0</v>
      </c>
      <c r="J82" s="15">
        <v>0.0</v>
      </c>
      <c r="K82" s="15">
        <v>0.0</v>
      </c>
      <c r="L82" s="17"/>
      <c r="M82" s="20" t="s">
        <v>424</v>
      </c>
    </row>
    <row r="83" ht="15.75" customHeight="1">
      <c r="A83" s="14" t="s">
        <v>46</v>
      </c>
      <c r="B83" s="15">
        <v>79.0</v>
      </c>
      <c r="C83" s="17" t="s">
        <v>581</v>
      </c>
      <c r="D83" s="16" t="s">
        <v>138</v>
      </c>
      <c r="E83" s="15">
        <v>6259.0</v>
      </c>
      <c r="F83" s="19">
        <v>0.736612922207838</v>
      </c>
      <c r="G83" s="15">
        <v>0.0</v>
      </c>
      <c r="H83" s="15">
        <v>0.0</v>
      </c>
      <c r="I83" s="15">
        <v>2.0</v>
      </c>
      <c r="J83" s="15">
        <v>0.0</v>
      </c>
      <c r="K83" s="15">
        <v>0.0</v>
      </c>
      <c r="L83" s="17"/>
      <c r="M83" s="20" t="s">
        <v>398</v>
      </c>
    </row>
    <row r="84" ht="15.75" customHeight="1">
      <c r="A84" s="14" t="s">
        <v>46</v>
      </c>
      <c r="B84" s="15">
        <v>80.0</v>
      </c>
      <c r="C84" s="17" t="s">
        <v>583</v>
      </c>
      <c r="D84" s="16" t="s">
        <v>138</v>
      </c>
      <c r="E84" s="15">
        <v>6561.0</v>
      </c>
      <c r="F84" s="19">
        <v>0.7721548781923032</v>
      </c>
      <c r="G84" s="15">
        <v>0.0</v>
      </c>
      <c r="H84" s="15">
        <v>0.0</v>
      </c>
      <c r="I84" s="15">
        <v>1557.0</v>
      </c>
      <c r="J84" s="15">
        <v>0.0</v>
      </c>
      <c r="K84" s="15">
        <v>0.0</v>
      </c>
      <c r="L84" s="17"/>
      <c r="M84" s="20" t="s">
        <v>584</v>
      </c>
    </row>
    <row r="85" ht="15.75" customHeight="1">
      <c r="A85" s="14" t="s">
        <v>46</v>
      </c>
      <c r="B85" s="15">
        <v>81.0</v>
      </c>
      <c r="C85" s="17" t="s">
        <v>586</v>
      </c>
      <c r="D85" s="16" t="s">
        <v>138</v>
      </c>
      <c r="E85" s="15">
        <v>6561.0</v>
      </c>
      <c r="F85" s="19">
        <v>0.7721548781923032</v>
      </c>
      <c r="G85" s="15">
        <v>0.0</v>
      </c>
      <c r="H85" s="15">
        <v>0.0</v>
      </c>
      <c r="I85" s="15">
        <v>2.0</v>
      </c>
      <c r="J85" s="15">
        <v>0.0</v>
      </c>
      <c r="K85" s="15">
        <v>0.0</v>
      </c>
      <c r="L85" s="17"/>
      <c r="M85" s="20" t="s">
        <v>424</v>
      </c>
    </row>
    <row r="86" ht="15.75" customHeight="1">
      <c r="A86" s="14" t="s">
        <v>46</v>
      </c>
      <c r="B86" s="15">
        <v>82.0</v>
      </c>
      <c r="C86" s="17" t="s">
        <v>591</v>
      </c>
      <c r="D86" s="16" t="s">
        <v>138</v>
      </c>
      <c r="E86" s="15">
        <v>6561.0</v>
      </c>
      <c r="F86" s="19">
        <v>0.7721548781923032</v>
      </c>
      <c r="G86" s="15">
        <v>0.0</v>
      </c>
      <c r="H86" s="15">
        <v>0.0</v>
      </c>
      <c r="I86" s="15">
        <v>2.0</v>
      </c>
      <c r="J86" s="15">
        <v>0.0</v>
      </c>
      <c r="K86" s="15">
        <v>0.0</v>
      </c>
      <c r="L86" s="17"/>
      <c r="M86" s="20" t="s">
        <v>398</v>
      </c>
    </row>
    <row r="87" ht="15.75" customHeight="1">
      <c r="A87" s="14" t="s">
        <v>46</v>
      </c>
      <c r="B87" s="15">
        <v>83.0</v>
      </c>
      <c r="C87" s="17" t="s">
        <v>603</v>
      </c>
      <c r="D87" s="16" t="s">
        <v>138</v>
      </c>
      <c r="E87" s="15">
        <v>6982.0</v>
      </c>
      <c r="F87" s="19">
        <v>0.8217017770977992</v>
      </c>
      <c r="G87" s="15">
        <v>0.0</v>
      </c>
      <c r="H87" s="15">
        <v>0.0</v>
      </c>
      <c r="I87" s="15">
        <v>1216.0</v>
      </c>
      <c r="J87" s="15">
        <v>0.0</v>
      </c>
      <c r="K87" s="15">
        <v>0.0</v>
      </c>
      <c r="L87" s="17"/>
      <c r="M87" s="20" t="s">
        <v>606</v>
      </c>
    </row>
    <row r="88" ht="15.75" customHeight="1">
      <c r="A88" s="14" t="s">
        <v>46</v>
      </c>
      <c r="B88" s="15">
        <v>84.0</v>
      </c>
      <c r="C88" s="17" t="s">
        <v>616</v>
      </c>
      <c r="D88" s="16" t="s">
        <v>138</v>
      </c>
      <c r="E88" s="15">
        <v>6982.0</v>
      </c>
      <c r="F88" s="19">
        <v>0.8217017770977992</v>
      </c>
      <c r="G88" s="15">
        <v>0.0</v>
      </c>
      <c r="H88" s="15">
        <v>0.0</v>
      </c>
      <c r="I88" s="15">
        <v>2.0</v>
      </c>
      <c r="J88" s="15">
        <v>0.0</v>
      </c>
      <c r="K88" s="15">
        <v>0.0</v>
      </c>
      <c r="L88" s="17"/>
      <c r="M88" s="20" t="s">
        <v>424</v>
      </c>
    </row>
    <row r="89" ht="15.75" customHeight="1">
      <c r="A89" s="14" t="s">
        <v>46</v>
      </c>
      <c r="B89" s="15">
        <v>85.0</v>
      </c>
      <c r="C89" s="17" t="s">
        <v>623</v>
      </c>
      <c r="D89" s="16" t="s">
        <v>138</v>
      </c>
      <c r="E89" s="15">
        <v>6982.0</v>
      </c>
      <c r="F89" s="19">
        <v>0.8217017770977992</v>
      </c>
      <c r="G89" s="15">
        <v>0.0</v>
      </c>
      <c r="H89" s="15">
        <v>0.0</v>
      </c>
      <c r="I89" s="15">
        <v>2.0</v>
      </c>
      <c r="J89" s="15">
        <v>0.0</v>
      </c>
      <c r="K89" s="15">
        <v>0.0</v>
      </c>
      <c r="L89" s="17"/>
      <c r="M89" s="20" t="s">
        <v>398</v>
      </c>
    </row>
    <row r="90" ht="15.75" customHeight="1">
      <c r="A90" s="14" t="s">
        <v>46</v>
      </c>
      <c r="B90" s="15">
        <v>86.0</v>
      </c>
      <c r="C90" s="17" t="s">
        <v>520</v>
      </c>
      <c r="D90" s="16" t="s">
        <v>458</v>
      </c>
      <c r="E90" s="15">
        <v>5859.0</v>
      </c>
      <c r="F90" s="19">
        <v>0.6895374838178181</v>
      </c>
      <c r="G90" s="15">
        <v>0.0</v>
      </c>
      <c r="H90" s="15">
        <v>0.0</v>
      </c>
      <c r="I90" s="15">
        <v>2166.0</v>
      </c>
      <c r="J90" s="15">
        <v>0.0</v>
      </c>
      <c r="K90" s="15">
        <v>0.0</v>
      </c>
      <c r="L90" s="17"/>
      <c r="M90" s="20" t="s">
        <v>633</v>
      </c>
    </row>
    <row r="91" ht="15.75" customHeight="1">
      <c r="A91" s="14" t="s">
        <v>46</v>
      </c>
      <c r="B91" s="15">
        <v>87.0</v>
      </c>
      <c r="C91" s="17" t="s">
        <v>521</v>
      </c>
      <c r="D91" s="16" t="s">
        <v>458</v>
      </c>
      <c r="E91" s="15">
        <v>6568.0</v>
      </c>
      <c r="F91" s="19">
        <v>0.7729786983641285</v>
      </c>
      <c r="G91" s="15">
        <v>0.0</v>
      </c>
      <c r="H91" s="15">
        <v>0.0</v>
      </c>
      <c r="I91" s="15">
        <v>1583.0</v>
      </c>
      <c r="J91" s="15">
        <v>0.0</v>
      </c>
      <c r="K91" s="15">
        <v>0.0</v>
      </c>
      <c r="L91" s="17"/>
      <c r="M91" s="20" t="s">
        <v>642</v>
      </c>
    </row>
    <row r="92" ht="15.75" customHeight="1">
      <c r="A92" s="14" t="s">
        <v>46</v>
      </c>
      <c r="B92" s="15">
        <v>88.0</v>
      </c>
      <c r="C92" s="17" t="s">
        <v>529</v>
      </c>
      <c r="D92" s="16" t="s">
        <v>458</v>
      </c>
      <c r="E92" s="15">
        <v>7037.0</v>
      </c>
      <c r="F92" s="19">
        <v>0.828174649876427</v>
      </c>
      <c r="G92" s="15">
        <v>0.0</v>
      </c>
      <c r="H92" s="15">
        <v>0.0</v>
      </c>
      <c r="I92" s="15">
        <v>1216.0</v>
      </c>
      <c r="J92" s="15">
        <v>0.0</v>
      </c>
      <c r="K92" s="15">
        <v>0.0</v>
      </c>
      <c r="L92" s="17"/>
      <c r="M92" s="20" t="s">
        <v>648</v>
      </c>
    </row>
    <row r="93" ht="15.75" customHeight="1">
      <c r="A93" s="14" t="s">
        <v>79</v>
      </c>
      <c r="B93" s="15">
        <v>1.0</v>
      </c>
      <c r="C93" s="17" t="s">
        <v>60</v>
      </c>
      <c r="D93" s="16" t="s">
        <v>66</v>
      </c>
      <c r="E93" s="15">
        <v>0.0</v>
      </c>
      <c r="F93" s="19">
        <v>0.0</v>
      </c>
      <c r="G93" s="15">
        <v>0.0</v>
      </c>
      <c r="H93" s="15">
        <v>0.0</v>
      </c>
      <c r="I93" s="15">
        <v>10565.0</v>
      </c>
      <c r="J93" s="15">
        <v>0.0</v>
      </c>
      <c r="K93" s="15">
        <v>0.0</v>
      </c>
      <c r="L93" s="17" t="s">
        <v>82</v>
      </c>
      <c r="M93" s="20" t="s">
        <v>61</v>
      </c>
    </row>
    <row r="94" ht="15.75" customHeight="1">
      <c r="A94" s="14" t="s">
        <v>79</v>
      </c>
      <c r="B94" s="15">
        <v>2.0</v>
      </c>
      <c r="C94" s="17" t="s">
        <v>81</v>
      </c>
      <c r="D94" s="16" t="s">
        <v>68</v>
      </c>
      <c r="E94" s="15">
        <v>0.0</v>
      </c>
      <c r="F94" s="19">
        <v>0.0</v>
      </c>
      <c r="G94" s="15">
        <v>3.0</v>
      </c>
      <c r="H94" s="15">
        <v>0.0</v>
      </c>
      <c r="I94" s="15">
        <v>10386.0</v>
      </c>
      <c r="J94" s="15">
        <v>0.0</v>
      </c>
      <c r="K94" s="15">
        <v>0.0</v>
      </c>
      <c r="L94" s="17"/>
      <c r="M94" s="20" t="s">
        <v>84</v>
      </c>
    </row>
    <row r="95" ht="15.75" customHeight="1">
      <c r="A95" s="14" t="s">
        <v>79</v>
      </c>
      <c r="B95" s="15">
        <v>3.0</v>
      </c>
      <c r="C95" s="17" t="s">
        <v>95</v>
      </c>
      <c r="D95" s="16" t="s">
        <v>68</v>
      </c>
      <c r="E95" s="15">
        <v>1.0</v>
      </c>
      <c r="F95" s="19">
        <v>9.46521533364884E-5</v>
      </c>
      <c r="G95" s="15">
        <v>2.0</v>
      </c>
      <c r="H95" s="15">
        <v>0.0</v>
      </c>
      <c r="I95" s="15">
        <v>518.0</v>
      </c>
      <c r="J95" s="15">
        <v>0.0</v>
      </c>
      <c r="K95" s="15">
        <v>0.0</v>
      </c>
      <c r="L95" s="17"/>
      <c r="M95" s="20" t="s">
        <v>96</v>
      </c>
    </row>
    <row r="96" ht="15.75" customHeight="1">
      <c r="A96" s="14" t="s">
        <v>79</v>
      </c>
      <c r="B96" s="15">
        <v>4.0</v>
      </c>
      <c r="C96" s="17" t="s">
        <v>113</v>
      </c>
      <c r="D96" s="16" t="s">
        <v>68</v>
      </c>
      <c r="E96" s="15">
        <v>0.0</v>
      </c>
      <c r="F96" s="19">
        <v>0.0</v>
      </c>
      <c r="G96" s="15">
        <v>0.0</v>
      </c>
      <c r="H96" s="15">
        <v>0.0</v>
      </c>
      <c r="I96" s="15">
        <v>5.0</v>
      </c>
      <c r="J96" s="15">
        <v>0.0</v>
      </c>
      <c r="K96" s="15">
        <v>0.0</v>
      </c>
      <c r="L96" s="17"/>
      <c r="M96" s="20" t="s">
        <v>115</v>
      </c>
    </row>
    <row r="97" ht="15.75" customHeight="1">
      <c r="A97" s="14" t="s">
        <v>79</v>
      </c>
      <c r="B97" s="15">
        <v>5.0</v>
      </c>
      <c r="C97" s="17" t="s">
        <v>126</v>
      </c>
      <c r="D97" s="16" t="s">
        <v>138</v>
      </c>
      <c r="E97" s="15">
        <v>537.0</v>
      </c>
      <c r="F97" s="19">
        <v>0.05082820634169427</v>
      </c>
      <c r="G97" s="15">
        <v>0.0</v>
      </c>
      <c r="H97" s="15">
        <v>0.0</v>
      </c>
      <c r="I97" s="15">
        <v>815.0</v>
      </c>
      <c r="J97" s="15">
        <v>0.0</v>
      </c>
      <c r="K97" s="15">
        <v>1.0</v>
      </c>
      <c r="L97" s="17" t="s">
        <v>146</v>
      </c>
      <c r="M97" s="20" t="s">
        <v>127</v>
      </c>
    </row>
    <row r="98" ht="15.75" customHeight="1">
      <c r="A98" s="14" t="s">
        <v>79</v>
      </c>
      <c r="B98" s="15">
        <v>6.0</v>
      </c>
      <c r="C98" s="17" t="s">
        <v>141</v>
      </c>
      <c r="D98" s="16" t="s">
        <v>68</v>
      </c>
      <c r="E98" s="15">
        <v>0.0</v>
      </c>
      <c r="F98" s="19">
        <v>0.0</v>
      </c>
      <c r="G98" s="15">
        <v>0.0</v>
      </c>
      <c r="H98" s="15">
        <v>0.0</v>
      </c>
      <c r="I98" s="15">
        <v>10241.0</v>
      </c>
      <c r="J98" s="15">
        <v>0.0</v>
      </c>
      <c r="K98" s="15">
        <v>0.0</v>
      </c>
      <c r="L98" s="17"/>
      <c r="M98" s="20" t="s">
        <v>143</v>
      </c>
    </row>
    <row r="99" ht="15.75" customHeight="1">
      <c r="A99" s="14" t="s">
        <v>79</v>
      </c>
      <c r="B99" s="15">
        <v>7.0</v>
      </c>
      <c r="C99" s="17" t="s">
        <v>151</v>
      </c>
      <c r="D99" s="16" t="s">
        <v>138</v>
      </c>
      <c r="E99" s="15">
        <v>0.0</v>
      </c>
      <c r="F99" s="19">
        <v>0.0</v>
      </c>
      <c r="G99" s="15">
        <v>0.0</v>
      </c>
      <c r="H99" s="15">
        <v>0.0</v>
      </c>
      <c r="I99" s="15">
        <v>4.0</v>
      </c>
      <c r="J99" s="15">
        <v>0.0</v>
      </c>
      <c r="K99" s="15">
        <v>0.0</v>
      </c>
      <c r="L99" s="17"/>
      <c r="M99" s="20" t="s">
        <v>153</v>
      </c>
    </row>
    <row r="100" ht="15.75" customHeight="1">
      <c r="A100" s="14" t="s">
        <v>79</v>
      </c>
      <c r="B100" s="15">
        <v>8.0</v>
      </c>
      <c r="C100" s="17" t="s">
        <v>158</v>
      </c>
      <c r="D100" s="16" t="s">
        <v>162</v>
      </c>
      <c r="E100" s="15">
        <v>0.0</v>
      </c>
      <c r="F100" s="19">
        <v>0.0</v>
      </c>
      <c r="G100" s="15">
        <v>0.0</v>
      </c>
      <c r="H100" s="15">
        <v>0.0</v>
      </c>
      <c r="I100" s="15">
        <v>10227.0</v>
      </c>
      <c r="J100" s="15">
        <v>0.0</v>
      </c>
      <c r="K100" s="15">
        <v>0.0</v>
      </c>
      <c r="L100" s="17"/>
      <c r="M100" s="20" t="s">
        <v>160</v>
      </c>
    </row>
    <row r="101" ht="15.75" customHeight="1">
      <c r="A101" s="14" t="s">
        <v>79</v>
      </c>
      <c r="B101" s="15">
        <v>9.0</v>
      </c>
      <c r="C101" s="17" t="s">
        <v>171</v>
      </c>
      <c r="D101" s="16" t="s">
        <v>162</v>
      </c>
      <c r="E101" s="15">
        <v>0.0</v>
      </c>
      <c r="F101" s="19">
        <v>0.0</v>
      </c>
      <c r="G101" s="15">
        <v>0.0</v>
      </c>
      <c r="H101" s="15">
        <v>0.0</v>
      </c>
      <c r="I101" s="15">
        <v>10172.0</v>
      </c>
      <c r="J101" s="15">
        <v>0.0</v>
      </c>
      <c r="K101" s="15">
        <v>0.0</v>
      </c>
      <c r="L101" s="17"/>
      <c r="M101" s="20" t="s">
        <v>173</v>
      </c>
    </row>
    <row r="102" ht="15.75" customHeight="1">
      <c r="A102" s="14" t="s">
        <v>79</v>
      </c>
      <c r="B102" s="15">
        <v>10.0</v>
      </c>
      <c r="C102" s="17" t="s">
        <v>178</v>
      </c>
      <c r="D102" s="16" t="s">
        <v>66</v>
      </c>
      <c r="E102" s="15">
        <v>0.0</v>
      </c>
      <c r="F102" s="19">
        <v>0.0</v>
      </c>
      <c r="G102" s="15">
        <v>0.0</v>
      </c>
      <c r="H102" s="15">
        <v>0.0</v>
      </c>
      <c r="I102" s="15">
        <v>128.0</v>
      </c>
      <c r="J102" s="15">
        <v>0.0</v>
      </c>
      <c r="K102" s="15">
        <v>0.0</v>
      </c>
      <c r="L102" s="17"/>
      <c r="M102" s="20" t="s">
        <v>179</v>
      </c>
    </row>
    <row r="103" ht="15.75" customHeight="1">
      <c r="A103" s="14" t="s">
        <v>79</v>
      </c>
      <c r="B103" s="15">
        <v>11.0</v>
      </c>
      <c r="C103" s="17" t="s">
        <v>185</v>
      </c>
      <c r="D103" s="16" t="s">
        <v>66</v>
      </c>
      <c r="E103" s="15">
        <v>0.0</v>
      </c>
      <c r="F103" s="19">
        <v>0.0</v>
      </c>
      <c r="G103" s="15">
        <v>0.0</v>
      </c>
      <c r="H103" s="15">
        <v>0.0</v>
      </c>
      <c r="I103" s="15">
        <v>72.0</v>
      </c>
      <c r="J103" s="15">
        <v>0.0</v>
      </c>
      <c r="K103" s="15">
        <v>0.0</v>
      </c>
      <c r="L103" s="17"/>
      <c r="M103" s="20" t="s">
        <v>187</v>
      </c>
    </row>
    <row r="104" ht="15.75" customHeight="1">
      <c r="A104" s="14" t="s">
        <v>79</v>
      </c>
      <c r="B104" s="15">
        <v>12.0</v>
      </c>
      <c r="C104" s="17" t="s">
        <v>191</v>
      </c>
      <c r="D104" s="16" t="s">
        <v>68</v>
      </c>
      <c r="E104" s="15">
        <v>0.0</v>
      </c>
      <c r="F104" s="19">
        <v>0.0</v>
      </c>
      <c r="G104" s="15">
        <v>0.0</v>
      </c>
      <c r="H104" s="15">
        <v>0.0</v>
      </c>
      <c r="I104" s="15">
        <v>4.0</v>
      </c>
      <c r="J104" s="15">
        <v>0.0</v>
      </c>
      <c r="K104" s="15">
        <v>0.0</v>
      </c>
      <c r="L104" s="17"/>
      <c r="M104" s="20" t="s">
        <v>739</v>
      </c>
    </row>
    <row r="105" ht="15.75" customHeight="1">
      <c r="A105" s="14" t="s">
        <v>79</v>
      </c>
      <c r="B105" s="15">
        <v>13.0</v>
      </c>
      <c r="C105" s="17" t="s">
        <v>198</v>
      </c>
      <c r="D105" s="16" t="s">
        <v>162</v>
      </c>
      <c r="E105" s="15">
        <v>0.0</v>
      </c>
      <c r="F105" s="19">
        <v>0.0</v>
      </c>
      <c r="G105" s="15">
        <v>0.0</v>
      </c>
      <c r="H105" s="15">
        <v>0.0</v>
      </c>
      <c r="I105" s="15">
        <v>265.0</v>
      </c>
      <c r="J105" s="15">
        <v>0.0</v>
      </c>
      <c r="K105" s="15">
        <v>0.0</v>
      </c>
      <c r="L105" s="17"/>
      <c r="M105" s="20" t="s">
        <v>200</v>
      </c>
    </row>
    <row r="106" ht="15.75" customHeight="1">
      <c r="A106" s="14" t="s">
        <v>79</v>
      </c>
      <c r="B106" s="15">
        <v>14.0</v>
      </c>
      <c r="C106" s="17" t="s">
        <v>207</v>
      </c>
      <c r="D106" s="16" t="s">
        <v>224</v>
      </c>
      <c r="E106" s="15">
        <v>0.0</v>
      </c>
      <c r="F106" s="19">
        <v>0.0</v>
      </c>
      <c r="G106" s="15">
        <v>0.0</v>
      </c>
      <c r="H106" s="15">
        <v>0.0</v>
      </c>
      <c r="I106" s="15">
        <v>313.0</v>
      </c>
      <c r="J106" s="15">
        <v>0.0</v>
      </c>
      <c r="K106" s="15">
        <v>0.0</v>
      </c>
      <c r="L106" s="17"/>
      <c r="M106" s="20" t="s">
        <v>209</v>
      </c>
    </row>
    <row r="107" ht="15.75" customHeight="1">
      <c r="A107" s="14" t="s">
        <v>79</v>
      </c>
      <c r="B107" s="15">
        <v>15.0</v>
      </c>
      <c r="C107" s="17" t="s">
        <v>223</v>
      </c>
      <c r="D107" s="16" t="s">
        <v>224</v>
      </c>
      <c r="E107" s="15">
        <v>0.0</v>
      </c>
      <c r="F107" s="19">
        <v>0.0</v>
      </c>
      <c r="G107" s="15">
        <v>0.0</v>
      </c>
      <c r="H107" s="15">
        <v>0.0</v>
      </c>
      <c r="I107" s="15">
        <v>183.0</v>
      </c>
      <c r="J107" s="15">
        <v>0.0</v>
      </c>
      <c r="K107" s="15">
        <v>0.0</v>
      </c>
      <c r="L107" s="17"/>
      <c r="M107" s="20" t="s">
        <v>225</v>
      </c>
    </row>
    <row r="108" ht="15.75" customHeight="1">
      <c r="A108" s="14" t="s">
        <v>79</v>
      </c>
      <c r="B108" s="15">
        <v>16.0</v>
      </c>
      <c r="C108" s="17" t="s">
        <v>236</v>
      </c>
      <c r="D108" s="16" t="s">
        <v>162</v>
      </c>
      <c r="E108" s="15">
        <v>0.0</v>
      </c>
      <c r="F108" s="19">
        <v>0.0</v>
      </c>
      <c r="G108" s="15">
        <v>0.0</v>
      </c>
      <c r="H108" s="15">
        <v>0.0</v>
      </c>
      <c r="I108" s="15">
        <v>189.0</v>
      </c>
      <c r="J108" s="15">
        <v>0.0</v>
      </c>
      <c r="K108" s="15">
        <v>0.0</v>
      </c>
      <c r="L108" s="17"/>
      <c r="M108" s="20" t="s">
        <v>237</v>
      </c>
    </row>
    <row r="109" ht="15.75" customHeight="1">
      <c r="A109" s="14" t="s">
        <v>79</v>
      </c>
      <c r="B109" s="15">
        <v>17.0</v>
      </c>
      <c r="C109" s="17" t="s">
        <v>247</v>
      </c>
      <c r="D109" s="16" t="s">
        <v>66</v>
      </c>
      <c r="E109" s="15">
        <v>0.0</v>
      </c>
      <c r="F109" s="19">
        <v>0.0</v>
      </c>
      <c r="G109" s="15">
        <v>0.0</v>
      </c>
      <c r="H109" s="15">
        <v>0.0</v>
      </c>
      <c r="I109" s="15">
        <v>183.0</v>
      </c>
      <c r="J109" s="15">
        <v>0.0</v>
      </c>
      <c r="K109" s="15">
        <v>0.0</v>
      </c>
      <c r="L109" s="17"/>
      <c r="M109" s="20" t="s">
        <v>249</v>
      </c>
    </row>
    <row r="110" ht="15.75" customHeight="1">
      <c r="A110" s="14" t="s">
        <v>79</v>
      </c>
      <c r="B110" s="15">
        <v>18.0</v>
      </c>
      <c r="C110" s="17" t="s">
        <v>259</v>
      </c>
      <c r="D110" s="16" t="s">
        <v>66</v>
      </c>
      <c r="E110" s="15">
        <v>0.0</v>
      </c>
      <c r="F110" s="19">
        <v>0.0</v>
      </c>
      <c r="G110" s="15">
        <v>0.0</v>
      </c>
      <c r="H110" s="15">
        <v>0.0</v>
      </c>
      <c r="I110" s="15">
        <v>200.0</v>
      </c>
      <c r="J110" s="15">
        <v>0.0</v>
      </c>
      <c r="K110" s="15">
        <v>0.0</v>
      </c>
      <c r="L110" s="17"/>
      <c r="M110" s="20" t="s">
        <v>260</v>
      </c>
    </row>
    <row r="111" ht="15.75" customHeight="1">
      <c r="A111" s="14" t="s">
        <v>79</v>
      </c>
      <c r="B111" s="15">
        <v>19.0</v>
      </c>
      <c r="C111" s="17" t="s">
        <v>270</v>
      </c>
      <c r="D111" s="16" t="s">
        <v>66</v>
      </c>
      <c r="E111" s="15">
        <v>0.0</v>
      </c>
      <c r="F111" s="19">
        <v>0.0</v>
      </c>
      <c r="G111" s="15">
        <v>0.0</v>
      </c>
      <c r="H111" s="15">
        <v>0.0</v>
      </c>
      <c r="I111" s="15">
        <v>135.0</v>
      </c>
      <c r="J111" s="15">
        <v>0.0</v>
      </c>
      <c r="K111" s="15">
        <v>0.0</v>
      </c>
      <c r="L111" s="17"/>
      <c r="M111" s="20" t="s">
        <v>179</v>
      </c>
    </row>
    <row r="112" ht="15.75" customHeight="1">
      <c r="A112" s="14" t="s">
        <v>79</v>
      </c>
      <c r="B112" s="15">
        <v>20.0</v>
      </c>
      <c r="C112" s="17" t="s">
        <v>282</v>
      </c>
      <c r="D112" s="16" t="s">
        <v>66</v>
      </c>
      <c r="E112" s="15">
        <v>0.0</v>
      </c>
      <c r="F112" s="19">
        <v>0.0</v>
      </c>
      <c r="G112" s="15">
        <v>0.0</v>
      </c>
      <c r="H112" s="15">
        <v>0.0</v>
      </c>
      <c r="I112" s="15">
        <v>64.0</v>
      </c>
      <c r="J112" s="15">
        <v>0.0</v>
      </c>
      <c r="K112" s="15">
        <v>0.0</v>
      </c>
      <c r="L112" s="17"/>
      <c r="M112" s="20" t="s">
        <v>283</v>
      </c>
    </row>
    <row r="113" ht="15.75" customHeight="1">
      <c r="A113" s="14" t="s">
        <v>79</v>
      </c>
      <c r="B113" s="15">
        <v>21.0</v>
      </c>
      <c r="C113" s="17" t="s">
        <v>294</v>
      </c>
      <c r="D113" s="16" t="s">
        <v>66</v>
      </c>
      <c r="E113" s="15">
        <v>0.0</v>
      </c>
      <c r="F113" s="19">
        <v>0.0</v>
      </c>
      <c r="G113" s="15">
        <v>0.0</v>
      </c>
      <c r="H113" s="15">
        <v>0.0</v>
      </c>
      <c r="I113" s="15">
        <v>127.0</v>
      </c>
      <c r="J113" s="15">
        <v>0.0</v>
      </c>
      <c r="K113" s="15">
        <v>0.0</v>
      </c>
      <c r="L113" s="17"/>
      <c r="M113" s="20" t="s">
        <v>296</v>
      </c>
    </row>
    <row r="114" ht="15.75" customHeight="1">
      <c r="A114" s="14" t="s">
        <v>79</v>
      </c>
      <c r="B114" s="15">
        <v>22.0</v>
      </c>
      <c r="C114" s="17" t="s">
        <v>308</v>
      </c>
      <c r="D114" s="16" t="s">
        <v>316</v>
      </c>
      <c r="E114" s="15">
        <v>0.0</v>
      </c>
      <c r="F114" s="19">
        <v>0.0</v>
      </c>
      <c r="G114" s="15">
        <v>0.0</v>
      </c>
      <c r="H114" s="15">
        <v>0.0</v>
      </c>
      <c r="I114" s="15">
        <v>10218.0</v>
      </c>
      <c r="J114" s="15">
        <v>0.0</v>
      </c>
      <c r="K114" s="15">
        <v>0.0</v>
      </c>
      <c r="L114" s="17"/>
      <c r="M114" s="20" t="s">
        <v>310</v>
      </c>
    </row>
    <row r="115" ht="15.75" customHeight="1">
      <c r="A115" s="14" t="s">
        <v>79</v>
      </c>
      <c r="B115" s="15">
        <v>23.0</v>
      </c>
      <c r="C115" s="17" t="s">
        <v>319</v>
      </c>
      <c r="D115" s="16" t="s">
        <v>68</v>
      </c>
      <c r="E115" s="15">
        <v>0.0</v>
      </c>
      <c r="F115" s="19">
        <v>0.0</v>
      </c>
      <c r="G115" s="15">
        <v>0.0</v>
      </c>
      <c r="H115" s="15">
        <v>0.0</v>
      </c>
      <c r="I115" s="15">
        <v>1.0</v>
      </c>
      <c r="J115" s="15">
        <v>0.0</v>
      </c>
      <c r="K115" s="15">
        <v>0.0</v>
      </c>
      <c r="L115" s="17"/>
      <c r="M115" s="20" t="s">
        <v>320</v>
      </c>
    </row>
    <row r="116" ht="15.75" customHeight="1">
      <c r="A116" s="14" t="s">
        <v>79</v>
      </c>
      <c r="B116" s="15">
        <v>24.0</v>
      </c>
      <c r="C116" s="17" t="s">
        <v>329</v>
      </c>
      <c r="D116" s="16" t="s">
        <v>341</v>
      </c>
      <c r="E116" s="15">
        <v>10565.0</v>
      </c>
      <c r="F116" s="19">
        <v>1.0</v>
      </c>
      <c r="G116" s="15">
        <v>0.0</v>
      </c>
      <c r="H116" s="15">
        <v>0.0</v>
      </c>
      <c r="I116" s="15">
        <v>0.0</v>
      </c>
      <c r="J116" s="15">
        <v>0.0</v>
      </c>
      <c r="K116" s="15">
        <v>0.0</v>
      </c>
      <c r="L116" s="17"/>
      <c r="M116" s="20"/>
    </row>
    <row r="117" ht="15.75" customHeight="1">
      <c r="A117" s="14" t="s">
        <v>79</v>
      </c>
      <c r="B117" s="15">
        <v>25.0</v>
      </c>
      <c r="C117" s="17" t="s">
        <v>339</v>
      </c>
      <c r="D117" s="16" t="s">
        <v>341</v>
      </c>
      <c r="E117" s="15">
        <v>10565.0</v>
      </c>
      <c r="F117" s="19">
        <v>1.0</v>
      </c>
      <c r="G117" s="15">
        <v>0.0</v>
      </c>
      <c r="H117" s="15">
        <v>0.0</v>
      </c>
      <c r="I117" s="15">
        <v>0.0</v>
      </c>
      <c r="J117" s="15">
        <v>0.0</v>
      </c>
      <c r="K117" s="15">
        <v>0.0</v>
      </c>
      <c r="L117" s="17"/>
      <c r="M117" s="20"/>
    </row>
    <row r="118" ht="15.75" customHeight="1">
      <c r="A118" s="14" t="s">
        <v>79</v>
      </c>
      <c r="B118" s="15">
        <v>26.0</v>
      </c>
      <c r="C118" s="17" t="s">
        <v>349</v>
      </c>
      <c r="D118" s="16" t="s">
        <v>361</v>
      </c>
      <c r="E118" s="15">
        <v>0.0</v>
      </c>
      <c r="F118" s="19">
        <v>0.0</v>
      </c>
      <c r="G118" s="15">
        <v>0.0</v>
      </c>
      <c r="H118" s="15">
        <v>0.0</v>
      </c>
      <c r="I118" s="15">
        <v>10565.0</v>
      </c>
      <c r="J118" s="15">
        <v>0.0</v>
      </c>
      <c r="K118" s="15">
        <v>0.0</v>
      </c>
      <c r="L118" s="17"/>
      <c r="M118" s="20" t="s">
        <v>350</v>
      </c>
    </row>
    <row r="119" ht="15.75" customHeight="1">
      <c r="A119" s="14" t="s">
        <v>97</v>
      </c>
      <c r="B119" s="15">
        <v>1.0</v>
      </c>
      <c r="C119" s="17" t="s">
        <v>840</v>
      </c>
      <c r="D119" s="16" t="s">
        <v>68</v>
      </c>
      <c r="E119" s="15">
        <v>0.0</v>
      </c>
      <c r="F119" s="19">
        <v>0.0</v>
      </c>
      <c r="G119" s="15">
        <v>3.0</v>
      </c>
      <c r="H119" s="15">
        <v>0.0</v>
      </c>
      <c r="I119" s="15">
        <v>10386.0</v>
      </c>
      <c r="J119" s="15">
        <v>0.0</v>
      </c>
      <c r="K119" s="15">
        <v>0.0</v>
      </c>
      <c r="L119" s="17"/>
      <c r="M119" s="20" t="s">
        <v>84</v>
      </c>
    </row>
    <row r="120" ht="15.75" customHeight="1">
      <c r="A120" s="14" t="s">
        <v>97</v>
      </c>
      <c r="B120" s="15">
        <v>2.0</v>
      </c>
      <c r="C120" s="17" t="s">
        <v>843</v>
      </c>
      <c r="D120" s="16" t="s">
        <v>68</v>
      </c>
      <c r="E120" s="15">
        <v>1.0</v>
      </c>
      <c r="F120" s="19">
        <v>9.46521533364884E-5</v>
      </c>
      <c r="G120" s="15">
        <v>2.0</v>
      </c>
      <c r="H120" s="15">
        <v>0.0</v>
      </c>
      <c r="I120" s="15">
        <v>518.0</v>
      </c>
      <c r="J120" s="15">
        <v>0.0</v>
      </c>
      <c r="K120" s="15">
        <v>0.0</v>
      </c>
      <c r="L120" s="17"/>
      <c r="M120" s="20" t="s">
        <v>96</v>
      </c>
    </row>
    <row r="121" ht="15.75" customHeight="1">
      <c r="A121" s="14" t="s">
        <v>97</v>
      </c>
      <c r="B121" s="15">
        <v>3.0</v>
      </c>
      <c r="C121" s="17" t="s">
        <v>847</v>
      </c>
      <c r="D121" s="16" t="s">
        <v>68</v>
      </c>
      <c r="E121" s="15">
        <v>0.0</v>
      </c>
      <c r="F121" s="19">
        <v>0.0</v>
      </c>
      <c r="G121" s="15">
        <v>0.0</v>
      </c>
      <c r="H121" s="15">
        <v>0.0</v>
      </c>
      <c r="I121" s="15">
        <v>5.0</v>
      </c>
      <c r="J121" s="15">
        <v>0.0</v>
      </c>
      <c r="K121" s="15">
        <v>0.0</v>
      </c>
      <c r="L121" s="17"/>
      <c r="M121" s="20" t="s">
        <v>115</v>
      </c>
    </row>
    <row r="122" ht="15.75" customHeight="1">
      <c r="A122" s="14" t="s">
        <v>97</v>
      </c>
      <c r="B122" s="15">
        <v>4.0</v>
      </c>
      <c r="C122" s="17" t="s">
        <v>853</v>
      </c>
      <c r="D122" s="16" t="s">
        <v>138</v>
      </c>
      <c r="E122" s="15">
        <v>537.0</v>
      </c>
      <c r="F122" s="19">
        <v>0.05082820634169427</v>
      </c>
      <c r="G122" s="15">
        <v>0.0</v>
      </c>
      <c r="H122" s="15">
        <v>0.0</v>
      </c>
      <c r="I122" s="15">
        <v>815.0</v>
      </c>
      <c r="J122" s="15">
        <v>0.0</v>
      </c>
      <c r="K122" s="15">
        <v>1.0</v>
      </c>
      <c r="L122" s="17" t="s">
        <v>146</v>
      </c>
      <c r="M122" s="20" t="s">
        <v>127</v>
      </c>
    </row>
    <row r="123" ht="15.75" customHeight="1">
      <c r="A123" s="14" t="s">
        <v>97</v>
      </c>
      <c r="B123" s="15">
        <v>5.0</v>
      </c>
      <c r="C123" s="17" t="s">
        <v>858</v>
      </c>
      <c r="D123" s="16" t="s">
        <v>68</v>
      </c>
      <c r="E123" s="15">
        <v>6380.0</v>
      </c>
      <c r="F123" s="19">
        <v>0.603880738286796</v>
      </c>
      <c r="G123" s="15">
        <v>1.0</v>
      </c>
      <c r="H123" s="15">
        <v>0.0</v>
      </c>
      <c r="I123" s="15">
        <v>3771.0</v>
      </c>
      <c r="J123" s="15">
        <v>281.0</v>
      </c>
      <c r="K123" s="15">
        <v>0.0</v>
      </c>
      <c r="L123" s="17"/>
      <c r="M123" s="20" t="s">
        <v>859</v>
      </c>
    </row>
    <row r="124" ht="15.75" customHeight="1">
      <c r="A124" s="14" t="s">
        <v>97</v>
      </c>
      <c r="B124" s="15">
        <v>6.0</v>
      </c>
      <c r="C124" s="17" t="s">
        <v>871</v>
      </c>
      <c r="D124" s="16" t="s">
        <v>341</v>
      </c>
      <c r="E124" s="15">
        <v>10.0</v>
      </c>
      <c r="F124" s="19">
        <v>9.46521533364884E-4</v>
      </c>
      <c r="G124" s="15">
        <v>8816.0</v>
      </c>
      <c r="H124" s="15">
        <v>0.0</v>
      </c>
      <c r="I124" s="15">
        <v>7.0</v>
      </c>
      <c r="J124" s="15">
        <v>0.0</v>
      </c>
      <c r="K124" s="15">
        <v>0.0</v>
      </c>
      <c r="L124" s="17"/>
      <c r="M124" s="20" t="s">
        <v>872</v>
      </c>
    </row>
    <row r="125" ht="15.75" customHeight="1">
      <c r="A125" s="14" t="s">
        <v>97</v>
      </c>
      <c r="B125" s="15">
        <v>7.0</v>
      </c>
      <c r="C125" s="17" t="s">
        <v>877</v>
      </c>
      <c r="D125" s="16" t="s">
        <v>68</v>
      </c>
      <c r="E125" s="15">
        <v>8839.0</v>
      </c>
      <c r="F125" s="19">
        <v>0.836630383341221</v>
      </c>
      <c r="G125" s="15">
        <v>0.0</v>
      </c>
      <c r="H125" s="15">
        <v>0.0</v>
      </c>
      <c r="I125" s="15">
        <v>28.0</v>
      </c>
      <c r="J125" s="15">
        <v>0.0</v>
      </c>
      <c r="K125" s="15">
        <v>0.0</v>
      </c>
      <c r="L125" s="17"/>
      <c r="M125" s="20" t="s">
        <v>878</v>
      </c>
    </row>
    <row r="126" ht="15.75" customHeight="1">
      <c r="A126" s="14" t="s">
        <v>97</v>
      </c>
      <c r="B126" s="15">
        <v>8.0</v>
      </c>
      <c r="C126" s="17" t="s">
        <v>882</v>
      </c>
      <c r="D126" s="16" t="s">
        <v>66</v>
      </c>
      <c r="E126" s="15">
        <v>9381.0</v>
      </c>
      <c r="F126" s="19">
        <v>0.8879318504495978</v>
      </c>
      <c r="G126" s="15">
        <v>0.0</v>
      </c>
      <c r="H126" s="15">
        <v>0.0</v>
      </c>
      <c r="I126" s="15">
        <v>105.0</v>
      </c>
      <c r="J126" s="15">
        <v>0.0</v>
      </c>
      <c r="K126" s="15">
        <v>0.0</v>
      </c>
      <c r="L126" s="17"/>
      <c r="M126" s="20" t="s">
        <v>883</v>
      </c>
    </row>
    <row r="127" ht="15.75" customHeight="1">
      <c r="A127" s="14" t="s">
        <v>97</v>
      </c>
      <c r="B127" s="15">
        <v>9.0</v>
      </c>
      <c r="C127" s="17" t="s">
        <v>887</v>
      </c>
      <c r="D127" s="16" t="s">
        <v>68</v>
      </c>
      <c r="E127" s="15">
        <v>0.0</v>
      </c>
      <c r="F127" s="19">
        <v>0.0</v>
      </c>
      <c r="G127" s="15">
        <v>7830.0</v>
      </c>
      <c r="H127" s="15">
        <v>0.0</v>
      </c>
      <c r="I127" s="15">
        <v>107.0</v>
      </c>
      <c r="J127" s="15">
        <v>530.0</v>
      </c>
      <c r="K127" s="15">
        <v>0.0</v>
      </c>
      <c r="L127" s="17"/>
      <c r="M127" s="20" t="s">
        <v>888</v>
      </c>
    </row>
    <row r="128" ht="15.75" customHeight="1">
      <c r="A128" s="14" t="s">
        <v>97</v>
      </c>
      <c r="B128" s="15">
        <v>10.0</v>
      </c>
      <c r="C128" s="17" t="s">
        <v>893</v>
      </c>
      <c r="D128" s="16" t="s">
        <v>162</v>
      </c>
      <c r="E128" s="15">
        <v>4549.0</v>
      </c>
      <c r="F128" s="19">
        <v>0.43057264552768576</v>
      </c>
      <c r="G128" s="15">
        <v>0.0</v>
      </c>
      <c r="H128" s="15">
        <v>0.0</v>
      </c>
      <c r="I128" s="15">
        <v>3268.0</v>
      </c>
      <c r="J128" s="15">
        <v>0.0</v>
      </c>
      <c r="K128" s="15">
        <v>0.0</v>
      </c>
      <c r="L128" s="17"/>
      <c r="M128" s="20" t="s">
        <v>894</v>
      </c>
    </row>
    <row r="129" ht="15.75" customHeight="1">
      <c r="A129" s="14" t="s">
        <v>97</v>
      </c>
      <c r="B129" s="15">
        <v>11.0</v>
      </c>
      <c r="C129" s="17" t="s">
        <v>898</v>
      </c>
      <c r="D129" s="16" t="s">
        <v>68</v>
      </c>
      <c r="E129" s="15">
        <v>8251.0</v>
      </c>
      <c r="F129" s="19">
        <v>0.7809749171793658</v>
      </c>
      <c r="G129" s="15">
        <v>0.0</v>
      </c>
      <c r="H129" s="15">
        <v>0.0</v>
      </c>
      <c r="I129" s="15">
        <v>105.0</v>
      </c>
      <c r="J129" s="15">
        <v>0.0</v>
      </c>
      <c r="K129" s="15">
        <v>0.0</v>
      </c>
      <c r="L129" s="17"/>
      <c r="M129" s="20" t="s">
        <v>900</v>
      </c>
    </row>
    <row r="130" ht="15.75" customHeight="1">
      <c r="A130" s="14" t="s">
        <v>97</v>
      </c>
      <c r="B130" s="15">
        <v>12.0</v>
      </c>
      <c r="C130" s="17" t="s">
        <v>903</v>
      </c>
      <c r="D130" s="16" t="s">
        <v>162</v>
      </c>
      <c r="E130" s="15">
        <v>8051.0</v>
      </c>
      <c r="F130" s="19">
        <v>0.7620444865120681</v>
      </c>
      <c r="G130" s="15">
        <v>0.0</v>
      </c>
      <c r="H130" s="15">
        <v>0.0</v>
      </c>
      <c r="I130" s="15">
        <v>12.0</v>
      </c>
      <c r="J130" s="15">
        <v>0.0</v>
      </c>
      <c r="K130" s="15">
        <v>0.0</v>
      </c>
      <c r="L130" s="17"/>
      <c r="M130" s="20" t="s">
        <v>905</v>
      </c>
    </row>
    <row r="131" ht="15.75" customHeight="1">
      <c r="A131" s="14" t="s">
        <v>97</v>
      </c>
      <c r="B131" s="15">
        <v>13.0</v>
      </c>
      <c r="C131" s="17" t="s">
        <v>909</v>
      </c>
      <c r="D131" s="16" t="s">
        <v>68</v>
      </c>
      <c r="E131" s="15">
        <v>10548.0</v>
      </c>
      <c r="F131" s="19">
        <v>0.9983909133932797</v>
      </c>
      <c r="G131" s="15">
        <v>0.0</v>
      </c>
      <c r="H131" s="15">
        <v>0.0</v>
      </c>
      <c r="I131" s="15">
        <v>5.0</v>
      </c>
      <c r="J131" s="15">
        <v>1.0</v>
      </c>
      <c r="K131" s="15">
        <v>0.0</v>
      </c>
      <c r="L131" s="17"/>
      <c r="M131" s="20" t="s">
        <v>910</v>
      </c>
    </row>
    <row r="132" ht="15.75" customHeight="1">
      <c r="A132" s="14" t="s">
        <v>97</v>
      </c>
      <c r="B132" s="15">
        <v>14.0</v>
      </c>
      <c r="C132" s="17" t="s">
        <v>914</v>
      </c>
      <c r="D132" s="16" t="s">
        <v>66</v>
      </c>
      <c r="E132" s="15">
        <v>4731.0</v>
      </c>
      <c r="F132" s="19">
        <v>0.44779933743492667</v>
      </c>
      <c r="G132" s="15">
        <v>0.0</v>
      </c>
      <c r="H132" s="15">
        <v>0.0</v>
      </c>
      <c r="I132" s="15">
        <v>3168.0</v>
      </c>
      <c r="J132" s="15">
        <v>0.0</v>
      </c>
      <c r="K132" s="15">
        <v>0.0</v>
      </c>
      <c r="L132" s="17"/>
      <c r="M132" s="20" t="s">
        <v>915</v>
      </c>
    </row>
    <row r="133" ht="15.75" customHeight="1">
      <c r="A133" s="14" t="s">
        <v>97</v>
      </c>
      <c r="B133" s="15">
        <v>15.0</v>
      </c>
      <c r="C133" s="17" t="s">
        <v>595</v>
      </c>
      <c r="D133" s="16" t="s">
        <v>68</v>
      </c>
      <c r="E133" s="15">
        <v>10035.0</v>
      </c>
      <c r="F133" s="19">
        <v>0.9498343587316611</v>
      </c>
      <c r="G133" s="15">
        <v>0.0</v>
      </c>
      <c r="H133" s="15">
        <v>0.0</v>
      </c>
      <c r="I133" s="15">
        <v>480.0</v>
      </c>
      <c r="J133" s="15">
        <v>5.0</v>
      </c>
      <c r="K133" s="15">
        <v>0.0</v>
      </c>
      <c r="L133" s="17"/>
      <c r="M133" s="20" t="s">
        <v>919</v>
      </c>
    </row>
    <row r="134" ht="15.75" customHeight="1">
      <c r="A134" s="14" t="s">
        <v>97</v>
      </c>
      <c r="B134" s="15">
        <v>16.0</v>
      </c>
      <c r="C134" s="17" t="s">
        <v>924</v>
      </c>
      <c r="D134" s="16" t="s">
        <v>68</v>
      </c>
      <c r="E134" s="15">
        <v>9307.0</v>
      </c>
      <c r="F134" s="19">
        <v>0.8809275911026976</v>
      </c>
      <c r="G134" s="15">
        <v>0.0</v>
      </c>
      <c r="H134" s="15">
        <v>0.0</v>
      </c>
      <c r="I134" s="15">
        <v>804.0</v>
      </c>
      <c r="J134" s="15">
        <v>435.0</v>
      </c>
      <c r="K134" s="15">
        <v>0.0</v>
      </c>
      <c r="L134" s="17"/>
      <c r="M134" s="20" t="s">
        <v>925</v>
      </c>
    </row>
    <row r="135" ht="15.75" customHeight="1">
      <c r="A135" s="14" t="s">
        <v>97</v>
      </c>
      <c r="B135" s="15">
        <v>17.0</v>
      </c>
      <c r="C135" s="17" t="s">
        <v>929</v>
      </c>
      <c r="D135" s="16" t="s">
        <v>357</v>
      </c>
      <c r="E135" s="15">
        <v>9917.0</v>
      </c>
      <c r="F135" s="19">
        <v>0.9386654046379556</v>
      </c>
      <c r="G135" s="15">
        <v>0.0</v>
      </c>
      <c r="H135" s="15">
        <v>0.0</v>
      </c>
      <c r="I135" s="15">
        <v>2.0</v>
      </c>
      <c r="J135" s="15">
        <v>0.0</v>
      </c>
      <c r="K135" s="15">
        <v>0.0</v>
      </c>
      <c r="L135" s="17"/>
      <c r="M135" s="20" t="s">
        <v>930</v>
      </c>
    </row>
    <row r="136" ht="15.75" customHeight="1">
      <c r="A136" s="14" t="s">
        <v>97</v>
      </c>
      <c r="B136" s="15">
        <v>18.0</v>
      </c>
      <c r="C136" s="17" t="s">
        <v>935</v>
      </c>
      <c r="D136" s="16" t="s">
        <v>357</v>
      </c>
      <c r="E136" s="15">
        <v>9917.0</v>
      </c>
      <c r="F136" s="19">
        <v>0.9386654046379556</v>
      </c>
      <c r="G136" s="15">
        <v>0.0</v>
      </c>
      <c r="H136" s="15">
        <v>0.0</v>
      </c>
      <c r="I136" s="15">
        <v>2.0</v>
      </c>
      <c r="J136" s="15">
        <v>0.0</v>
      </c>
      <c r="K136" s="15">
        <v>0.0</v>
      </c>
      <c r="L136" s="17"/>
      <c r="M136" s="20" t="s">
        <v>930</v>
      </c>
    </row>
    <row r="137" ht="15.75" customHeight="1">
      <c r="A137" s="14" t="s">
        <v>97</v>
      </c>
      <c r="B137" s="15">
        <v>19.0</v>
      </c>
      <c r="C137" s="17" t="s">
        <v>379</v>
      </c>
      <c r="D137" s="16" t="s">
        <v>68</v>
      </c>
      <c r="E137" s="15">
        <v>1265.0</v>
      </c>
      <c r="F137" s="19">
        <v>0.11973497397065783</v>
      </c>
      <c r="G137" s="15">
        <v>2.0</v>
      </c>
      <c r="H137" s="15">
        <v>0.0</v>
      </c>
      <c r="I137" s="15">
        <v>8489.0</v>
      </c>
      <c r="J137" s="15">
        <v>118.0</v>
      </c>
      <c r="K137" s="15">
        <v>1810.0</v>
      </c>
      <c r="L137" s="17"/>
      <c r="M137" s="20" t="s">
        <v>946</v>
      </c>
    </row>
    <row r="138" ht="15.75" customHeight="1">
      <c r="A138" s="14" t="s">
        <v>97</v>
      </c>
      <c r="B138" s="15">
        <v>20.0</v>
      </c>
      <c r="C138" s="17" t="s">
        <v>954</v>
      </c>
      <c r="D138" s="16" t="s">
        <v>68</v>
      </c>
      <c r="E138" s="15">
        <v>687.0</v>
      </c>
      <c r="F138" s="19">
        <v>0.06502602934216753</v>
      </c>
      <c r="G138" s="15">
        <v>7118.0</v>
      </c>
      <c r="H138" s="15">
        <v>0.0</v>
      </c>
      <c r="I138" s="15">
        <v>16.0</v>
      </c>
      <c r="J138" s="15">
        <v>366.0</v>
      </c>
      <c r="K138" s="15">
        <v>0.0</v>
      </c>
      <c r="L138" s="17"/>
      <c r="M138" s="20" t="s">
        <v>955</v>
      </c>
    </row>
    <row r="139" ht="15.75" customHeight="1">
      <c r="A139" s="14" t="s">
        <v>97</v>
      </c>
      <c r="B139" s="15">
        <v>21.0</v>
      </c>
      <c r="C139" s="17" t="s">
        <v>963</v>
      </c>
      <c r="D139" s="16" t="s">
        <v>68</v>
      </c>
      <c r="E139" s="15">
        <v>9925.0</v>
      </c>
      <c r="F139" s="19">
        <v>0.9394226218646474</v>
      </c>
      <c r="G139" s="15">
        <v>0.0</v>
      </c>
      <c r="H139" s="15">
        <v>0.0</v>
      </c>
      <c r="I139" s="15">
        <v>594.0</v>
      </c>
      <c r="J139" s="15">
        <v>37.0</v>
      </c>
      <c r="K139" s="15">
        <v>53.0</v>
      </c>
      <c r="L139" s="17"/>
      <c r="M139" s="20" t="s">
        <v>965</v>
      </c>
    </row>
    <row r="140" ht="15.75" customHeight="1">
      <c r="A140" s="14" t="s">
        <v>97</v>
      </c>
      <c r="B140" s="15">
        <v>22.0</v>
      </c>
      <c r="C140" s="17" t="s">
        <v>977</v>
      </c>
      <c r="D140" s="16" t="s">
        <v>138</v>
      </c>
      <c r="E140" s="15">
        <v>687.0</v>
      </c>
      <c r="F140" s="19">
        <v>0.06502602934216753</v>
      </c>
      <c r="G140" s="15">
        <v>0.0</v>
      </c>
      <c r="H140" s="15">
        <v>0.0</v>
      </c>
      <c r="I140" s="15">
        <v>5.0</v>
      </c>
      <c r="J140" s="15">
        <v>0.0</v>
      </c>
      <c r="K140" s="15">
        <v>0.0</v>
      </c>
      <c r="L140" s="17"/>
      <c r="M140" s="20" t="s">
        <v>978</v>
      </c>
    </row>
    <row r="141" ht="15.75" customHeight="1">
      <c r="A141" s="14" t="s">
        <v>97</v>
      </c>
      <c r="B141" s="15">
        <v>23.0</v>
      </c>
      <c r="C141" s="17" t="s">
        <v>988</v>
      </c>
      <c r="D141" s="16" t="s">
        <v>357</v>
      </c>
      <c r="E141" s="15">
        <v>687.0</v>
      </c>
      <c r="F141" s="19">
        <v>0.06502602934216753</v>
      </c>
      <c r="G141" s="15">
        <v>0.0</v>
      </c>
      <c r="H141" s="15">
        <v>0.0</v>
      </c>
      <c r="I141" s="15">
        <v>2.0</v>
      </c>
      <c r="J141" s="15">
        <v>0.0</v>
      </c>
      <c r="K141" s="15">
        <v>0.0</v>
      </c>
      <c r="L141" s="17"/>
      <c r="M141" s="20" t="s">
        <v>930</v>
      </c>
    </row>
    <row r="142" ht="15.75" customHeight="1">
      <c r="A142" s="14" t="s">
        <v>97</v>
      </c>
      <c r="B142" s="15">
        <v>24.0</v>
      </c>
      <c r="C142" s="17" t="s">
        <v>999</v>
      </c>
      <c r="D142" s="16" t="s">
        <v>357</v>
      </c>
      <c r="E142" s="15">
        <v>687.0</v>
      </c>
      <c r="F142" s="19">
        <v>0.06502602934216753</v>
      </c>
      <c r="G142" s="15">
        <v>0.0</v>
      </c>
      <c r="H142" s="15">
        <v>0.0</v>
      </c>
      <c r="I142" s="15">
        <v>1.0</v>
      </c>
      <c r="J142" s="15">
        <v>0.0</v>
      </c>
      <c r="K142" s="15">
        <v>0.0</v>
      </c>
      <c r="L142" s="17"/>
      <c r="M142" s="20" t="s">
        <v>75</v>
      </c>
    </row>
    <row r="143" ht="15.75" customHeight="1">
      <c r="A143" s="14" t="s">
        <v>97</v>
      </c>
      <c r="B143" s="15">
        <v>25.0</v>
      </c>
      <c r="C143" s="17" t="s">
        <v>1008</v>
      </c>
      <c r="D143" s="16" t="s">
        <v>68</v>
      </c>
      <c r="E143" s="15">
        <v>2658.0</v>
      </c>
      <c r="F143" s="19">
        <v>0.2515854235683862</v>
      </c>
      <c r="G143" s="15">
        <v>0.0</v>
      </c>
      <c r="H143" s="15">
        <v>0.0</v>
      </c>
      <c r="I143" s="15">
        <v>24.0</v>
      </c>
      <c r="J143" s="15">
        <v>234.0</v>
      </c>
      <c r="K143" s="15">
        <v>0.0</v>
      </c>
      <c r="L143" s="17"/>
      <c r="M143" s="20" t="s">
        <v>1010</v>
      </c>
    </row>
    <row r="144" ht="15.75" customHeight="1">
      <c r="A144" s="14" t="s">
        <v>97</v>
      </c>
      <c r="B144" s="15">
        <v>26.0</v>
      </c>
      <c r="C144" s="17" t="s">
        <v>852</v>
      </c>
      <c r="D144" s="16" t="s">
        <v>138</v>
      </c>
      <c r="E144" s="15">
        <v>10539.0</v>
      </c>
      <c r="F144" s="19">
        <v>0.9975390440132513</v>
      </c>
      <c r="G144" s="15">
        <v>0.0</v>
      </c>
      <c r="H144" s="15">
        <v>0.0</v>
      </c>
      <c r="I144" s="15">
        <v>26.0</v>
      </c>
      <c r="J144" s="15">
        <v>1.0</v>
      </c>
      <c r="K144" s="15">
        <v>2.0</v>
      </c>
      <c r="L144" s="17"/>
      <c r="M144" s="20" t="s">
        <v>1016</v>
      </c>
    </row>
    <row r="145" ht="15.75" customHeight="1">
      <c r="A145" s="14" t="s">
        <v>97</v>
      </c>
      <c r="B145" s="15">
        <v>27.0</v>
      </c>
      <c r="C145" s="17" t="s">
        <v>582</v>
      </c>
      <c r="D145" s="16" t="s">
        <v>458</v>
      </c>
      <c r="E145" s="15">
        <v>10189.0</v>
      </c>
      <c r="F145" s="19">
        <v>0.9644107903454804</v>
      </c>
      <c r="G145" s="15">
        <v>0.0</v>
      </c>
      <c r="H145" s="15">
        <v>0.0</v>
      </c>
      <c r="I145" s="15">
        <v>357.0</v>
      </c>
      <c r="J145" s="15">
        <v>0.0</v>
      </c>
      <c r="K145" s="15">
        <v>3.0</v>
      </c>
      <c r="L145" s="17"/>
      <c r="M145" s="20" t="s">
        <v>1020</v>
      </c>
    </row>
    <row r="146" ht="15.75" customHeight="1">
      <c r="A146" s="14" t="s">
        <v>97</v>
      </c>
      <c r="B146" s="15">
        <v>28.0</v>
      </c>
      <c r="C146" s="17" t="s">
        <v>845</v>
      </c>
      <c r="D146" s="16" t="s">
        <v>68</v>
      </c>
      <c r="E146" s="15">
        <v>2197.0</v>
      </c>
      <c r="F146" s="19">
        <v>0.20795078088026503</v>
      </c>
      <c r="G146" s="15">
        <v>0.0</v>
      </c>
      <c r="H146" s="15">
        <v>0.0</v>
      </c>
      <c r="I146" s="15">
        <v>7712.0</v>
      </c>
      <c r="J146" s="15">
        <v>0.0</v>
      </c>
      <c r="K146" s="15">
        <v>6.0</v>
      </c>
      <c r="L146" s="17"/>
      <c r="M146" s="20" t="s">
        <v>1024</v>
      </c>
    </row>
    <row r="147" ht="15.75" customHeight="1">
      <c r="A147" s="14" t="s">
        <v>97</v>
      </c>
      <c r="B147" s="15">
        <v>29.0</v>
      </c>
      <c r="C147" s="17" t="s">
        <v>1029</v>
      </c>
      <c r="D147" s="16" t="s">
        <v>68</v>
      </c>
      <c r="E147" s="15">
        <v>2197.0</v>
      </c>
      <c r="F147" s="19">
        <v>0.20795078088026503</v>
      </c>
      <c r="G147" s="15">
        <v>6042.0</v>
      </c>
      <c r="H147" s="15">
        <v>0.0</v>
      </c>
      <c r="I147" s="15">
        <v>17.0</v>
      </c>
      <c r="J147" s="15">
        <v>109.0</v>
      </c>
      <c r="K147" s="15">
        <v>0.0</v>
      </c>
      <c r="L147" s="17"/>
      <c r="M147" s="20" t="s">
        <v>1030</v>
      </c>
    </row>
    <row r="148" ht="15.75" customHeight="1">
      <c r="A148" s="14" t="s">
        <v>97</v>
      </c>
      <c r="B148" s="15">
        <v>30.0</v>
      </c>
      <c r="C148" s="17" t="s">
        <v>1032</v>
      </c>
      <c r="D148" s="16" t="s">
        <v>68</v>
      </c>
      <c r="E148" s="15">
        <v>2197.0</v>
      </c>
      <c r="F148" s="19">
        <v>0.20795078088026503</v>
      </c>
      <c r="G148" s="15">
        <v>0.0</v>
      </c>
      <c r="H148" s="15">
        <v>0.0</v>
      </c>
      <c r="I148" s="15">
        <v>12.0</v>
      </c>
      <c r="J148" s="15">
        <v>69.0</v>
      </c>
      <c r="K148" s="15">
        <v>0.0</v>
      </c>
      <c r="L148" s="17"/>
      <c r="M148" s="20" t="s">
        <v>1033</v>
      </c>
    </row>
    <row r="149" ht="15.75" customHeight="1">
      <c r="A149" s="14" t="s">
        <v>97</v>
      </c>
      <c r="B149" s="15">
        <v>31.0</v>
      </c>
      <c r="C149" s="17" t="s">
        <v>1035</v>
      </c>
      <c r="D149" s="16" t="s">
        <v>68</v>
      </c>
      <c r="E149" s="15">
        <v>5273.0</v>
      </c>
      <c r="F149" s="19">
        <v>0.49910080454330336</v>
      </c>
      <c r="G149" s="15">
        <v>0.0</v>
      </c>
      <c r="H149" s="15">
        <v>0.0</v>
      </c>
      <c r="I149" s="15">
        <v>10.0</v>
      </c>
      <c r="J149" s="15">
        <v>49.0</v>
      </c>
      <c r="K149" s="15">
        <v>0.0</v>
      </c>
      <c r="L149" s="17"/>
      <c r="M149" s="20" t="s">
        <v>1036</v>
      </c>
    </row>
    <row r="150" ht="15.75" customHeight="1">
      <c r="A150" s="14" t="s">
        <v>97</v>
      </c>
      <c r="B150" s="15">
        <v>32.0</v>
      </c>
      <c r="C150" s="17" t="s">
        <v>849</v>
      </c>
      <c r="D150" s="16" t="s">
        <v>68</v>
      </c>
      <c r="E150" s="15">
        <v>8095.0</v>
      </c>
      <c r="F150" s="19">
        <v>0.7662091812588736</v>
      </c>
      <c r="G150" s="15">
        <v>0.0</v>
      </c>
      <c r="H150" s="15">
        <v>0.0</v>
      </c>
      <c r="I150" s="15">
        <v>2395.0</v>
      </c>
      <c r="J150" s="15">
        <v>0.0</v>
      </c>
      <c r="K150" s="15">
        <v>1.0</v>
      </c>
      <c r="L150" s="17"/>
      <c r="M150" s="20" t="s">
        <v>1038</v>
      </c>
    </row>
    <row r="151" ht="15.75" customHeight="1">
      <c r="A151" s="14" t="s">
        <v>97</v>
      </c>
      <c r="B151" s="15">
        <v>33.0</v>
      </c>
      <c r="C151" s="17" t="s">
        <v>1041</v>
      </c>
      <c r="D151" s="16" t="s">
        <v>68</v>
      </c>
      <c r="E151" s="15">
        <v>8095.0</v>
      </c>
      <c r="F151" s="19">
        <v>0.7662091812588736</v>
      </c>
      <c r="G151" s="15">
        <v>813.0</v>
      </c>
      <c r="H151" s="15">
        <v>0.0</v>
      </c>
      <c r="I151" s="15">
        <v>10.0</v>
      </c>
      <c r="J151" s="15">
        <v>35.0</v>
      </c>
      <c r="K151" s="15">
        <v>0.0</v>
      </c>
      <c r="L151" s="17"/>
      <c r="M151" s="20" t="s">
        <v>1042</v>
      </c>
    </row>
    <row r="152" ht="15.75" customHeight="1">
      <c r="A152" s="14" t="s">
        <v>97</v>
      </c>
      <c r="B152" s="15">
        <v>34.0</v>
      </c>
      <c r="C152" s="17" t="s">
        <v>1040</v>
      </c>
      <c r="D152" s="16" t="s">
        <v>68</v>
      </c>
      <c r="E152" s="15">
        <v>8095.0</v>
      </c>
      <c r="F152" s="19">
        <v>0.7662091812588736</v>
      </c>
      <c r="G152" s="15">
        <v>0.0</v>
      </c>
      <c r="H152" s="15">
        <v>0.0</v>
      </c>
      <c r="I152" s="15">
        <v>11.0</v>
      </c>
      <c r="J152" s="15">
        <v>20.0</v>
      </c>
      <c r="K152" s="15">
        <v>0.0</v>
      </c>
      <c r="L152" s="17"/>
      <c r="M152" s="20" t="s">
        <v>1044</v>
      </c>
    </row>
    <row r="153" ht="15.75" customHeight="1">
      <c r="A153" s="14" t="s">
        <v>97</v>
      </c>
      <c r="B153" s="15">
        <v>35.0</v>
      </c>
      <c r="C153" s="17" t="s">
        <v>1043</v>
      </c>
      <c r="D153" s="16" t="s">
        <v>68</v>
      </c>
      <c r="E153" s="15">
        <v>9566.0</v>
      </c>
      <c r="F153" s="19">
        <v>0.9054424988168481</v>
      </c>
      <c r="G153" s="15">
        <v>0.0</v>
      </c>
      <c r="H153" s="15">
        <v>0.0</v>
      </c>
      <c r="I153" s="15">
        <v>8.0</v>
      </c>
      <c r="J153" s="15">
        <v>46.0</v>
      </c>
      <c r="K153" s="15">
        <v>0.0</v>
      </c>
      <c r="L153" s="17"/>
      <c r="M153" s="20" t="s">
        <v>1047</v>
      </c>
    </row>
    <row r="154" ht="15.75" customHeight="1">
      <c r="A154" s="14" t="s">
        <v>97</v>
      </c>
      <c r="B154" s="15">
        <v>36.0</v>
      </c>
      <c r="C154" s="17" t="s">
        <v>1049</v>
      </c>
      <c r="D154" s="16" t="s">
        <v>68</v>
      </c>
      <c r="E154" s="15">
        <v>9077.0</v>
      </c>
      <c r="F154" s="19">
        <v>0.8591575958353053</v>
      </c>
      <c r="G154" s="15">
        <v>0.0</v>
      </c>
      <c r="H154" s="15">
        <v>0.0</v>
      </c>
      <c r="I154" s="15">
        <v>1432.0</v>
      </c>
      <c r="J154" s="15">
        <v>0.0</v>
      </c>
      <c r="K154" s="15">
        <v>0.0</v>
      </c>
      <c r="L154" s="17"/>
      <c r="M154" s="20" t="s">
        <v>1050</v>
      </c>
    </row>
    <row r="155" ht="15.75" customHeight="1">
      <c r="A155" s="14" t="s">
        <v>97</v>
      </c>
      <c r="B155" s="15">
        <v>37.0</v>
      </c>
      <c r="C155" s="17" t="s">
        <v>1048</v>
      </c>
      <c r="D155" s="16" t="s">
        <v>68</v>
      </c>
      <c r="E155" s="15">
        <v>9077.0</v>
      </c>
      <c r="F155" s="19">
        <v>0.8591575958353053</v>
      </c>
      <c r="G155" s="15">
        <v>342.0</v>
      </c>
      <c r="H155" s="15">
        <v>0.0</v>
      </c>
      <c r="I155" s="15">
        <v>11.0</v>
      </c>
      <c r="J155" s="15">
        <v>17.0</v>
      </c>
      <c r="K155" s="15">
        <v>0.0</v>
      </c>
      <c r="L155" s="17"/>
      <c r="M155" s="20" t="s">
        <v>1055</v>
      </c>
    </row>
    <row r="156" ht="15.75" customHeight="1">
      <c r="A156" s="14" t="s">
        <v>97</v>
      </c>
      <c r="B156" s="15">
        <v>38.0</v>
      </c>
      <c r="C156" s="17" t="s">
        <v>1045</v>
      </c>
      <c r="D156" s="16" t="s">
        <v>68</v>
      </c>
      <c r="E156" s="15">
        <v>9077.0</v>
      </c>
      <c r="F156" s="19">
        <v>0.8591575958353053</v>
      </c>
      <c r="G156" s="15">
        <v>0.0</v>
      </c>
      <c r="H156" s="15">
        <v>0.0</v>
      </c>
      <c r="I156" s="15">
        <v>9.0</v>
      </c>
      <c r="J156" s="15">
        <v>16.0</v>
      </c>
      <c r="K156" s="15">
        <v>0.0</v>
      </c>
      <c r="L156" s="17"/>
      <c r="M156" s="20" t="s">
        <v>1044</v>
      </c>
    </row>
    <row r="157" ht="15.75" customHeight="1">
      <c r="A157" s="14" t="s">
        <v>97</v>
      </c>
      <c r="B157" s="15">
        <v>39.0</v>
      </c>
      <c r="C157" s="17" t="s">
        <v>1046</v>
      </c>
      <c r="D157" s="16" t="s">
        <v>68</v>
      </c>
      <c r="E157" s="15">
        <v>10005.0</v>
      </c>
      <c r="F157" s="19">
        <v>0.9469947941315665</v>
      </c>
      <c r="G157" s="15">
        <v>0.0</v>
      </c>
      <c r="H157" s="15">
        <v>0.0</v>
      </c>
      <c r="I157" s="15">
        <v>8.0</v>
      </c>
      <c r="J157" s="15">
        <v>26.0</v>
      </c>
      <c r="K157" s="15">
        <v>0.0</v>
      </c>
      <c r="L157" s="17"/>
      <c r="M157" s="20" t="s">
        <v>1073</v>
      </c>
    </row>
    <row r="158" ht="15.75" customHeight="1">
      <c r="A158" s="14" t="s">
        <v>97</v>
      </c>
      <c r="B158" s="15">
        <v>40.0</v>
      </c>
      <c r="C158" s="17" t="s">
        <v>1081</v>
      </c>
      <c r="D158" s="16" t="s">
        <v>68</v>
      </c>
      <c r="E158" s="15">
        <v>9966.0</v>
      </c>
      <c r="F158" s="19">
        <v>0.9433033601514434</v>
      </c>
      <c r="G158" s="15">
        <v>0.0</v>
      </c>
      <c r="H158" s="15">
        <v>0.0</v>
      </c>
      <c r="I158" s="15">
        <v>587.0</v>
      </c>
      <c r="J158" s="15">
        <v>0.0</v>
      </c>
      <c r="K158" s="15">
        <v>0.0</v>
      </c>
      <c r="L158" s="17"/>
      <c r="M158" s="20" t="s">
        <v>1084</v>
      </c>
    </row>
    <row r="159" ht="15.75" customHeight="1">
      <c r="A159" s="14" t="s">
        <v>97</v>
      </c>
      <c r="B159" s="15">
        <v>41.0</v>
      </c>
      <c r="C159" s="17" t="s">
        <v>1059</v>
      </c>
      <c r="D159" s="16" t="s">
        <v>68</v>
      </c>
      <c r="E159" s="15">
        <v>9966.0</v>
      </c>
      <c r="F159" s="19">
        <v>0.9433033601514434</v>
      </c>
      <c r="G159" s="15">
        <v>68.0</v>
      </c>
      <c r="H159" s="15">
        <v>0.0</v>
      </c>
      <c r="I159" s="15">
        <v>8.0</v>
      </c>
      <c r="J159" s="15">
        <v>13.0</v>
      </c>
      <c r="K159" s="15">
        <v>0.0</v>
      </c>
      <c r="L159" s="17"/>
      <c r="M159" s="20" t="s">
        <v>1090</v>
      </c>
    </row>
    <row r="160" ht="15.75" customHeight="1">
      <c r="A160" s="14" t="s">
        <v>97</v>
      </c>
      <c r="B160" s="15">
        <v>42.0</v>
      </c>
      <c r="C160" s="17" t="s">
        <v>1052</v>
      </c>
      <c r="D160" s="16" t="s">
        <v>68</v>
      </c>
      <c r="E160" s="15">
        <v>9966.0</v>
      </c>
      <c r="F160" s="19">
        <v>0.9433033601514434</v>
      </c>
      <c r="G160" s="15">
        <v>0.0</v>
      </c>
      <c r="H160" s="15">
        <v>0.0</v>
      </c>
      <c r="I160" s="15">
        <v>8.0</v>
      </c>
      <c r="J160" s="15">
        <v>11.0</v>
      </c>
      <c r="K160" s="15">
        <v>0.0</v>
      </c>
      <c r="L160" s="17"/>
      <c r="M160" s="20" t="s">
        <v>1098</v>
      </c>
    </row>
    <row r="161" ht="15.75" customHeight="1">
      <c r="A161" s="14" t="s">
        <v>97</v>
      </c>
      <c r="B161" s="15">
        <v>43.0</v>
      </c>
      <c r="C161" s="17" t="s">
        <v>1054</v>
      </c>
      <c r="D161" s="16" t="s">
        <v>68</v>
      </c>
      <c r="E161" s="15">
        <v>10349.0</v>
      </c>
      <c r="F161" s="19">
        <v>0.9795551348793186</v>
      </c>
      <c r="G161" s="15">
        <v>0.0</v>
      </c>
      <c r="H161" s="15">
        <v>0.0</v>
      </c>
      <c r="I161" s="15">
        <v>8.0</v>
      </c>
      <c r="J161" s="15">
        <v>30.0</v>
      </c>
      <c r="K161" s="15">
        <v>0.0</v>
      </c>
      <c r="L161" s="17"/>
      <c r="M161" s="20" t="s">
        <v>1073</v>
      </c>
    </row>
    <row r="162" ht="15.75" customHeight="1">
      <c r="A162" s="14" t="s">
        <v>97</v>
      </c>
      <c r="B162" s="15">
        <v>44.0</v>
      </c>
      <c r="C162" s="17" t="s">
        <v>1108</v>
      </c>
      <c r="D162" s="16" t="s">
        <v>68</v>
      </c>
      <c r="E162" s="15">
        <v>10232.0</v>
      </c>
      <c r="F162" s="19">
        <v>0.9684808329389494</v>
      </c>
      <c r="G162" s="15">
        <v>0.0</v>
      </c>
      <c r="H162" s="15">
        <v>0.0</v>
      </c>
      <c r="I162" s="15">
        <v>323.0</v>
      </c>
      <c r="J162" s="15">
        <v>0.0</v>
      </c>
      <c r="K162" s="15">
        <v>0.0</v>
      </c>
      <c r="L162" s="17"/>
      <c r="M162" s="20" t="s">
        <v>1109</v>
      </c>
    </row>
    <row r="163" ht="15.75" customHeight="1">
      <c r="A163" s="14" t="s">
        <v>97</v>
      </c>
      <c r="B163" s="15">
        <v>45.0</v>
      </c>
      <c r="C163" s="17" t="s">
        <v>1078</v>
      </c>
      <c r="D163" s="16" t="s">
        <v>68</v>
      </c>
      <c r="E163" s="15">
        <v>10232.0</v>
      </c>
      <c r="F163" s="19">
        <v>0.9684808329389494</v>
      </c>
      <c r="G163" s="15">
        <v>40.0</v>
      </c>
      <c r="H163" s="15">
        <v>0.0</v>
      </c>
      <c r="I163" s="15">
        <v>7.0</v>
      </c>
      <c r="J163" s="15">
        <v>10.0</v>
      </c>
      <c r="K163" s="15">
        <v>0.0</v>
      </c>
      <c r="L163" s="17"/>
      <c r="M163" s="20" t="s">
        <v>1090</v>
      </c>
    </row>
    <row r="164" ht="15.75" customHeight="1">
      <c r="A164" s="14" t="s">
        <v>97</v>
      </c>
      <c r="B164" s="15">
        <v>46.0</v>
      </c>
      <c r="C164" s="17" t="s">
        <v>1065</v>
      </c>
      <c r="D164" s="16" t="s">
        <v>68</v>
      </c>
      <c r="E164" s="15">
        <v>10232.0</v>
      </c>
      <c r="F164" s="19">
        <v>0.9684808329389494</v>
      </c>
      <c r="G164" s="15">
        <v>0.0</v>
      </c>
      <c r="H164" s="15">
        <v>0.0</v>
      </c>
      <c r="I164" s="15">
        <v>7.0</v>
      </c>
      <c r="J164" s="15">
        <v>4.0</v>
      </c>
      <c r="K164" s="15">
        <v>0.0</v>
      </c>
      <c r="L164" s="17"/>
      <c r="M164" s="20" t="s">
        <v>1044</v>
      </c>
    </row>
    <row r="165" ht="15.75" customHeight="1">
      <c r="A165" s="14" t="s">
        <v>97</v>
      </c>
      <c r="B165" s="15">
        <v>47.0</v>
      </c>
      <c r="C165" s="17" t="s">
        <v>1071</v>
      </c>
      <c r="D165" s="16" t="s">
        <v>68</v>
      </c>
      <c r="E165" s="15">
        <v>10412.0</v>
      </c>
      <c r="F165" s="19">
        <v>0.9855182205395173</v>
      </c>
      <c r="G165" s="15">
        <v>0.0</v>
      </c>
      <c r="H165" s="15">
        <v>0.0</v>
      </c>
      <c r="I165" s="15">
        <v>6.0</v>
      </c>
      <c r="J165" s="15">
        <v>14.0</v>
      </c>
      <c r="K165" s="15">
        <v>0.0</v>
      </c>
      <c r="L165" s="17"/>
      <c r="M165" s="20" t="s">
        <v>1073</v>
      </c>
    </row>
    <row r="166" ht="15.75" customHeight="1">
      <c r="A166" s="14" t="s">
        <v>97</v>
      </c>
      <c r="B166" s="15">
        <v>48.0</v>
      </c>
      <c r="C166" s="17" t="s">
        <v>1116</v>
      </c>
      <c r="D166" s="16" t="s">
        <v>68</v>
      </c>
      <c r="E166" s="15">
        <v>10453.0</v>
      </c>
      <c r="F166" s="19">
        <v>0.9893989588263133</v>
      </c>
      <c r="G166" s="15">
        <v>0.0</v>
      </c>
      <c r="H166" s="15">
        <v>0.0</v>
      </c>
      <c r="I166" s="15">
        <v>110.0</v>
      </c>
      <c r="J166" s="15">
        <v>0.0</v>
      </c>
      <c r="K166" s="15">
        <v>0.0</v>
      </c>
      <c r="L166" s="17"/>
      <c r="M166" s="20" t="s">
        <v>1117</v>
      </c>
    </row>
    <row r="167" ht="15.75" customHeight="1">
      <c r="A167" s="14" t="s">
        <v>97</v>
      </c>
      <c r="B167" s="15">
        <v>49.0</v>
      </c>
      <c r="C167" s="17" t="s">
        <v>1120</v>
      </c>
      <c r="D167" s="16" t="s">
        <v>68</v>
      </c>
      <c r="E167" s="15">
        <v>10453.0</v>
      </c>
      <c r="F167" s="19">
        <v>0.9893989588263133</v>
      </c>
      <c r="G167" s="15">
        <v>21.0</v>
      </c>
      <c r="H167" s="15">
        <v>0.0</v>
      </c>
      <c r="I167" s="15">
        <v>3.0</v>
      </c>
      <c r="J167" s="15">
        <v>0.0</v>
      </c>
      <c r="K167" s="15">
        <v>0.0</v>
      </c>
      <c r="L167" s="17"/>
      <c r="M167" s="20" t="s">
        <v>1055</v>
      </c>
    </row>
    <row r="168" ht="15.75" customHeight="1">
      <c r="A168" s="14" t="s">
        <v>97</v>
      </c>
      <c r="B168" s="15">
        <v>50.0</v>
      </c>
      <c r="C168" s="17" t="s">
        <v>1123</v>
      </c>
      <c r="D168" s="16" t="s">
        <v>68</v>
      </c>
      <c r="E168" s="15">
        <v>10453.0</v>
      </c>
      <c r="F168" s="19">
        <v>0.9893989588263133</v>
      </c>
      <c r="G168" s="15">
        <v>0.0</v>
      </c>
      <c r="H168" s="15">
        <v>0.0</v>
      </c>
      <c r="I168" s="15">
        <v>4.0</v>
      </c>
      <c r="J168" s="15">
        <v>0.0</v>
      </c>
      <c r="K168" s="15">
        <v>0.0</v>
      </c>
      <c r="L168" s="17"/>
      <c r="M168" s="20" t="s">
        <v>1124</v>
      </c>
    </row>
    <row r="169" ht="15.75" customHeight="1">
      <c r="A169" s="14" t="s">
        <v>97</v>
      </c>
      <c r="B169" s="15">
        <v>51.0</v>
      </c>
      <c r="C169" s="17" t="s">
        <v>1083</v>
      </c>
      <c r="D169" s="16" t="s">
        <v>68</v>
      </c>
      <c r="E169" s="15">
        <v>10543.0</v>
      </c>
      <c r="F169" s="19">
        <v>0.9979176526265973</v>
      </c>
      <c r="G169" s="15">
        <v>0.0</v>
      </c>
      <c r="H169" s="15">
        <v>0.0</v>
      </c>
      <c r="I169" s="15">
        <v>5.0</v>
      </c>
      <c r="J169" s="15">
        <v>1.0</v>
      </c>
      <c r="K169" s="15">
        <v>0.0</v>
      </c>
      <c r="L169" s="17"/>
      <c r="M169" s="20" t="s">
        <v>1073</v>
      </c>
    </row>
    <row r="170" ht="15.75" customHeight="1">
      <c r="A170" s="14" t="s">
        <v>97</v>
      </c>
      <c r="B170" s="15">
        <v>52.0</v>
      </c>
      <c r="C170" s="17" t="s">
        <v>1127</v>
      </c>
      <c r="D170" s="16" t="s">
        <v>68</v>
      </c>
      <c r="E170" s="15">
        <v>10514.0</v>
      </c>
      <c r="F170" s="19">
        <v>0.9951727401798391</v>
      </c>
      <c r="G170" s="15">
        <v>0.0</v>
      </c>
      <c r="H170" s="15">
        <v>0.0</v>
      </c>
      <c r="I170" s="15">
        <v>51.0</v>
      </c>
      <c r="J170" s="15">
        <v>0.0</v>
      </c>
      <c r="K170" s="15">
        <v>0.0</v>
      </c>
      <c r="L170" s="17"/>
      <c r="M170" s="20" t="s">
        <v>1128</v>
      </c>
    </row>
    <row r="171" ht="15.75" customHeight="1">
      <c r="A171" s="14" t="s">
        <v>97</v>
      </c>
      <c r="B171" s="15">
        <v>53.0</v>
      </c>
      <c r="C171" s="17" t="s">
        <v>1132</v>
      </c>
      <c r="D171" s="16" t="s">
        <v>68</v>
      </c>
      <c r="E171" s="15">
        <v>10514.0</v>
      </c>
      <c r="F171" s="19">
        <v>0.9951727401798391</v>
      </c>
      <c r="G171" s="15">
        <v>9.0</v>
      </c>
      <c r="H171" s="15">
        <v>0.0</v>
      </c>
      <c r="I171" s="15">
        <v>3.0</v>
      </c>
      <c r="J171" s="15">
        <v>0.0</v>
      </c>
      <c r="K171" s="15">
        <v>0.0</v>
      </c>
      <c r="L171" s="17"/>
      <c r="M171" s="20" t="s">
        <v>1090</v>
      </c>
    </row>
    <row r="172" ht="15.75" customHeight="1">
      <c r="A172" s="14" t="s">
        <v>97</v>
      </c>
      <c r="B172" s="15">
        <v>54.0</v>
      </c>
      <c r="C172" s="17" t="s">
        <v>1135</v>
      </c>
      <c r="D172" s="16" t="s">
        <v>68</v>
      </c>
      <c r="E172" s="15">
        <v>10514.0</v>
      </c>
      <c r="F172" s="19">
        <v>0.9951727401798391</v>
      </c>
      <c r="G172" s="15">
        <v>0.0</v>
      </c>
      <c r="H172" s="15">
        <v>0.0</v>
      </c>
      <c r="I172" s="15">
        <v>4.0</v>
      </c>
      <c r="J172" s="15">
        <v>0.0</v>
      </c>
      <c r="K172" s="15">
        <v>0.0</v>
      </c>
      <c r="L172" s="17"/>
      <c r="M172" s="20" t="s">
        <v>1044</v>
      </c>
    </row>
    <row r="173" ht="15.75" customHeight="1">
      <c r="A173" s="14" t="s">
        <v>97</v>
      </c>
      <c r="B173" s="15">
        <v>55.0</v>
      </c>
      <c r="C173" s="17" t="s">
        <v>1088</v>
      </c>
      <c r="D173" s="16" t="s">
        <v>68</v>
      </c>
      <c r="E173" s="15">
        <v>10557.0</v>
      </c>
      <c r="F173" s="19">
        <v>0.9992427827733081</v>
      </c>
      <c r="G173" s="15">
        <v>0.0</v>
      </c>
      <c r="H173" s="15">
        <v>0.0</v>
      </c>
      <c r="I173" s="15">
        <v>3.0</v>
      </c>
      <c r="J173" s="15">
        <v>1.0</v>
      </c>
      <c r="K173" s="15">
        <v>0.0</v>
      </c>
      <c r="L173" s="17"/>
      <c r="M173" s="20" t="s">
        <v>1138</v>
      </c>
    </row>
    <row r="174" ht="15.75" customHeight="1">
      <c r="A174" s="14" t="s">
        <v>97</v>
      </c>
      <c r="B174" s="15">
        <v>56.0</v>
      </c>
      <c r="C174" s="17" t="s">
        <v>1140</v>
      </c>
      <c r="D174" s="16" t="s">
        <v>68</v>
      </c>
      <c r="E174" s="15">
        <v>10545.0</v>
      </c>
      <c r="F174" s="19">
        <v>0.9981069569332702</v>
      </c>
      <c r="G174" s="15">
        <v>0.0</v>
      </c>
      <c r="H174" s="15">
        <v>0.0</v>
      </c>
      <c r="I174" s="15">
        <v>20.0</v>
      </c>
      <c r="J174" s="15">
        <v>0.0</v>
      </c>
      <c r="K174" s="15">
        <v>0.0</v>
      </c>
      <c r="L174" s="17"/>
      <c r="M174" s="20" t="s">
        <v>1141</v>
      </c>
    </row>
    <row r="175" ht="15.75" customHeight="1">
      <c r="A175" s="14" t="s">
        <v>97</v>
      </c>
      <c r="B175" s="15">
        <v>57.0</v>
      </c>
      <c r="C175" s="17" t="s">
        <v>1144</v>
      </c>
      <c r="D175" s="16" t="s">
        <v>68</v>
      </c>
      <c r="E175" s="15">
        <v>10545.0</v>
      </c>
      <c r="F175" s="19">
        <v>0.9981069569332702</v>
      </c>
      <c r="G175" s="15">
        <v>3.0</v>
      </c>
      <c r="H175" s="15">
        <v>0.0</v>
      </c>
      <c r="I175" s="15">
        <v>3.0</v>
      </c>
      <c r="J175" s="15">
        <v>0.0</v>
      </c>
      <c r="K175" s="15">
        <v>0.0</v>
      </c>
      <c r="L175" s="17"/>
      <c r="M175" s="20" t="s">
        <v>1090</v>
      </c>
    </row>
    <row r="176" ht="15.75" customHeight="1">
      <c r="A176" s="14" t="s">
        <v>97</v>
      </c>
      <c r="B176" s="15">
        <v>58.0</v>
      </c>
      <c r="C176" s="17" t="s">
        <v>1147</v>
      </c>
      <c r="D176" s="16" t="s">
        <v>68</v>
      </c>
      <c r="E176" s="15">
        <v>10545.0</v>
      </c>
      <c r="F176" s="19">
        <v>0.9981069569332702</v>
      </c>
      <c r="G176" s="15">
        <v>0.0</v>
      </c>
      <c r="H176" s="15">
        <v>0.0</v>
      </c>
      <c r="I176" s="15">
        <v>4.0</v>
      </c>
      <c r="J176" s="15">
        <v>0.0</v>
      </c>
      <c r="K176" s="15">
        <v>0.0</v>
      </c>
      <c r="L176" s="17"/>
      <c r="M176" s="20" t="s">
        <v>1148</v>
      </c>
    </row>
    <row r="177" ht="15.75" customHeight="1">
      <c r="A177" s="14" t="s">
        <v>97</v>
      </c>
      <c r="B177" s="15">
        <v>59.0</v>
      </c>
      <c r="C177" s="17" t="s">
        <v>1094</v>
      </c>
      <c r="D177" s="16" t="s">
        <v>68</v>
      </c>
      <c r="E177" s="15">
        <v>10561.0</v>
      </c>
      <c r="F177" s="19">
        <v>0.9996213913866541</v>
      </c>
      <c r="G177" s="15">
        <v>0.0</v>
      </c>
      <c r="H177" s="15">
        <v>0.0</v>
      </c>
      <c r="I177" s="15">
        <v>2.0</v>
      </c>
      <c r="J177" s="15">
        <v>1.0</v>
      </c>
      <c r="K177" s="15">
        <v>0.0</v>
      </c>
      <c r="L177" s="17"/>
      <c r="M177" s="20" t="s">
        <v>1150</v>
      </c>
    </row>
    <row r="178" ht="15.75" customHeight="1">
      <c r="A178" s="14" t="s">
        <v>97</v>
      </c>
      <c r="B178" s="15">
        <v>60.0</v>
      </c>
      <c r="C178" s="17" t="s">
        <v>1153</v>
      </c>
      <c r="D178" s="16" t="s">
        <v>68</v>
      </c>
      <c r="E178" s="15">
        <v>10557.0</v>
      </c>
      <c r="F178" s="19">
        <v>0.9992427827733081</v>
      </c>
      <c r="G178" s="15">
        <v>0.0</v>
      </c>
      <c r="H178" s="15">
        <v>0.0</v>
      </c>
      <c r="I178" s="15">
        <v>8.0</v>
      </c>
      <c r="J178" s="15">
        <v>0.0</v>
      </c>
      <c r="K178" s="15">
        <v>0.0</v>
      </c>
      <c r="L178" s="17"/>
      <c r="M178" s="20" t="s">
        <v>1154</v>
      </c>
    </row>
    <row r="179" ht="15.75" customHeight="1">
      <c r="A179" s="14" t="s">
        <v>97</v>
      </c>
      <c r="B179" s="15">
        <v>61.0</v>
      </c>
      <c r="C179" s="17" t="s">
        <v>1157</v>
      </c>
      <c r="D179" s="16" t="s">
        <v>68</v>
      </c>
      <c r="E179" s="15">
        <v>10557.0</v>
      </c>
      <c r="F179" s="19">
        <v>0.9992427827733081</v>
      </c>
      <c r="G179" s="15">
        <v>0.0</v>
      </c>
      <c r="H179" s="15">
        <v>0.0</v>
      </c>
      <c r="I179" s="15">
        <v>2.0</v>
      </c>
      <c r="J179" s="15">
        <v>0.0</v>
      </c>
      <c r="K179" s="15">
        <v>0.0</v>
      </c>
      <c r="L179" s="17"/>
      <c r="M179" s="20" t="s">
        <v>1159</v>
      </c>
    </row>
    <row r="180" ht="15.75" customHeight="1">
      <c r="A180" s="14" t="s">
        <v>97</v>
      </c>
      <c r="B180" s="15">
        <v>62.0</v>
      </c>
      <c r="C180" s="17" t="s">
        <v>1166</v>
      </c>
      <c r="D180" s="16" t="s">
        <v>68</v>
      </c>
      <c r="E180" s="15">
        <v>10557.0</v>
      </c>
      <c r="F180" s="19">
        <v>0.9992427827733081</v>
      </c>
      <c r="G180" s="15">
        <v>0.0</v>
      </c>
      <c r="H180" s="15">
        <v>0.0</v>
      </c>
      <c r="I180" s="15">
        <v>2.0</v>
      </c>
      <c r="J180" s="15">
        <v>0.0</v>
      </c>
      <c r="K180" s="15">
        <v>0.0</v>
      </c>
      <c r="L180" s="17"/>
      <c r="M180" s="20" t="s">
        <v>1167</v>
      </c>
    </row>
    <row r="181" ht="15.75" customHeight="1">
      <c r="A181" s="14" t="s">
        <v>97</v>
      </c>
      <c r="B181" s="15">
        <v>63.0</v>
      </c>
      <c r="C181" s="17" t="s">
        <v>1176</v>
      </c>
      <c r="D181" s="16" t="s">
        <v>68</v>
      </c>
      <c r="E181" s="15">
        <v>10562.0</v>
      </c>
      <c r="F181" s="19">
        <v>0.9997160435399906</v>
      </c>
      <c r="G181" s="15">
        <v>0.0</v>
      </c>
      <c r="H181" s="15">
        <v>0.0</v>
      </c>
      <c r="I181" s="15">
        <v>2.0</v>
      </c>
      <c r="J181" s="15">
        <v>0.0</v>
      </c>
      <c r="K181" s="15">
        <v>0.0</v>
      </c>
      <c r="L181" s="17"/>
      <c r="M181" s="20" t="s">
        <v>1177</v>
      </c>
    </row>
    <row r="182" ht="15.75" customHeight="1">
      <c r="A182" s="14" t="s">
        <v>97</v>
      </c>
      <c r="B182" s="15">
        <v>64.0</v>
      </c>
      <c r="C182" s="17" t="s">
        <v>1186</v>
      </c>
      <c r="D182" s="16" t="s">
        <v>68</v>
      </c>
      <c r="E182" s="15">
        <v>10560.0</v>
      </c>
      <c r="F182" s="19">
        <v>0.9995267392333176</v>
      </c>
      <c r="G182" s="15">
        <v>0.0</v>
      </c>
      <c r="H182" s="15">
        <v>0.0</v>
      </c>
      <c r="I182" s="15">
        <v>5.0</v>
      </c>
      <c r="J182" s="15">
        <v>0.0</v>
      </c>
      <c r="K182" s="15">
        <v>0.0</v>
      </c>
      <c r="L182" s="17"/>
      <c r="M182" s="20" t="s">
        <v>1187</v>
      </c>
    </row>
    <row r="183" ht="15.75" customHeight="1">
      <c r="A183" s="14" t="s">
        <v>97</v>
      </c>
      <c r="B183" s="15">
        <v>65.0</v>
      </c>
      <c r="C183" s="17" t="s">
        <v>1196</v>
      </c>
      <c r="D183" s="16" t="s">
        <v>68</v>
      </c>
      <c r="E183" s="15">
        <v>10560.0</v>
      </c>
      <c r="F183" s="19">
        <v>0.9995267392333176</v>
      </c>
      <c r="G183" s="15">
        <v>0.0</v>
      </c>
      <c r="H183" s="15">
        <v>0.0</v>
      </c>
      <c r="I183" s="15">
        <v>2.0</v>
      </c>
      <c r="J183" s="15">
        <v>0.0</v>
      </c>
      <c r="K183" s="15">
        <v>0.0</v>
      </c>
      <c r="L183" s="17"/>
      <c r="M183" s="20" t="s">
        <v>1159</v>
      </c>
    </row>
    <row r="184" ht="15.75" customHeight="1">
      <c r="A184" s="14" t="s">
        <v>97</v>
      </c>
      <c r="B184" s="15">
        <v>66.0</v>
      </c>
      <c r="C184" s="17" t="s">
        <v>1199</v>
      </c>
      <c r="D184" s="16" t="s">
        <v>68</v>
      </c>
      <c r="E184" s="15">
        <v>10560.0</v>
      </c>
      <c r="F184" s="19">
        <v>0.9995267392333176</v>
      </c>
      <c r="G184" s="15">
        <v>0.0</v>
      </c>
      <c r="H184" s="15">
        <v>0.0</v>
      </c>
      <c r="I184" s="15">
        <v>2.0</v>
      </c>
      <c r="J184" s="15">
        <v>0.0</v>
      </c>
      <c r="K184" s="15">
        <v>0.0</v>
      </c>
      <c r="L184" s="17"/>
      <c r="M184" s="20" t="s">
        <v>1167</v>
      </c>
    </row>
    <row r="185" ht="15.75" customHeight="1">
      <c r="A185" s="14" t="s">
        <v>97</v>
      </c>
      <c r="B185" s="15">
        <v>67.0</v>
      </c>
      <c r="C185" s="17" t="s">
        <v>1201</v>
      </c>
      <c r="D185" s="16" t="s">
        <v>68</v>
      </c>
      <c r="E185" s="15">
        <v>10564.0</v>
      </c>
      <c r="F185" s="19">
        <v>0.9999053478466635</v>
      </c>
      <c r="G185" s="15">
        <v>0.0</v>
      </c>
      <c r="H185" s="15">
        <v>0.0</v>
      </c>
      <c r="I185" s="15">
        <v>1.0</v>
      </c>
      <c r="J185" s="15">
        <v>0.0</v>
      </c>
      <c r="K185" s="15">
        <v>0.0</v>
      </c>
      <c r="L185" s="17"/>
      <c r="M185" s="20" t="s">
        <v>1203</v>
      </c>
    </row>
    <row r="186" ht="15.75" customHeight="1">
      <c r="A186" s="14" t="s">
        <v>97</v>
      </c>
      <c r="B186" s="15">
        <v>68.0</v>
      </c>
      <c r="C186" s="17" t="s">
        <v>1204</v>
      </c>
      <c r="D186" s="16" t="s">
        <v>68</v>
      </c>
      <c r="E186" s="15">
        <v>10563.0</v>
      </c>
      <c r="F186" s="19">
        <v>0.999810695693327</v>
      </c>
      <c r="G186" s="15">
        <v>0.0</v>
      </c>
      <c r="H186" s="15">
        <v>0.0</v>
      </c>
      <c r="I186" s="15">
        <v>2.0</v>
      </c>
      <c r="J186" s="15">
        <v>0.0</v>
      </c>
      <c r="K186" s="15">
        <v>0.0</v>
      </c>
      <c r="L186" s="17"/>
      <c r="M186" s="20" t="s">
        <v>1205</v>
      </c>
    </row>
    <row r="187" ht="15.75" customHeight="1">
      <c r="A187" s="14" t="s">
        <v>97</v>
      </c>
      <c r="B187" s="15">
        <v>69.0</v>
      </c>
      <c r="C187" s="17" t="s">
        <v>1209</v>
      </c>
      <c r="D187" s="16" t="s">
        <v>68</v>
      </c>
      <c r="E187" s="15">
        <v>10563.0</v>
      </c>
      <c r="F187" s="19">
        <v>0.999810695693327</v>
      </c>
      <c r="G187" s="15">
        <v>0.0</v>
      </c>
      <c r="H187" s="15">
        <v>0.0</v>
      </c>
      <c r="I187" s="15">
        <v>2.0</v>
      </c>
      <c r="J187" s="15">
        <v>0.0</v>
      </c>
      <c r="K187" s="15">
        <v>0.0</v>
      </c>
      <c r="L187" s="17"/>
      <c r="M187" s="20" t="s">
        <v>1210</v>
      </c>
    </row>
    <row r="188" ht="15.75" customHeight="1">
      <c r="A188" s="14" t="s">
        <v>97</v>
      </c>
      <c r="B188" s="15">
        <v>70.0</v>
      </c>
      <c r="C188" s="17" t="s">
        <v>1212</v>
      </c>
      <c r="D188" s="16" t="s">
        <v>68</v>
      </c>
      <c r="E188" s="15">
        <v>10563.0</v>
      </c>
      <c r="F188" s="19">
        <v>0.999810695693327</v>
      </c>
      <c r="G188" s="15">
        <v>0.0</v>
      </c>
      <c r="H188" s="15">
        <v>0.0</v>
      </c>
      <c r="I188" s="15">
        <v>1.0</v>
      </c>
      <c r="J188" s="15">
        <v>0.0</v>
      </c>
      <c r="K188" s="15">
        <v>0.0</v>
      </c>
      <c r="L188" s="17"/>
      <c r="M188" s="20" t="s">
        <v>1214</v>
      </c>
    </row>
    <row r="189" ht="15.75" customHeight="1">
      <c r="A189" s="14" t="s">
        <v>97</v>
      </c>
      <c r="B189" s="15">
        <v>71.0</v>
      </c>
      <c r="C189" s="17" t="s">
        <v>1216</v>
      </c>
      <c r="D189" s="16" t="s">
        <v>68</v>
      </c>
      <c r="E189" s="15">
        <v>10564.0</v>
      </c>
      <c r="F189" s="19">
        <v>0.9999053478466635</v>
      </c>
      <c r="G189" s="15">
        <v>0.0</v>
      </c>
      <c r="H189" s="15">
        <v>0.0</v>
      </c>
      <c r="I189" s="15">
        <v>1.0</v>
      </c>
      <c r="J189" s="15">
        <v>0.0</v>
      </c>
      <c r="K189" s="15">
        <v>0.0</v>
      </c>
      <c r="L189" s="17"/>
      <c r="M189" s="20" t="s">
        <v>1217</v>
      </c>
    </row>
    <row r="190" ht="15.75" customHeight="1">
      <c r="A190" s="14" t="s">
        <v>97</v>
      </c>
      <c r="B190" s="15">
        <v>72.0</v>
      </c>
      <c r="C190" s="17" t="s">
        <v>1221</v>
      </c>
      <c r="D190" s="16" t="s">
        <v>68</v>
      </c>
      <c r="E190" s="15">
        <v>10564.0</v>
      </c>
      <c r="F190" s="19">
        <v>0.9999053478466635</v>
      </c>
      <c r="G190" s="15">
        <v>0.0</v>
      </c>
      <c r="H190" s="15">
        <v>0.0</v>
      </c>
      <c r="I190" s="15">
        <v>1.0</v>
      </c>
      <c r="J190" s="15">
        <v>0.0</v>
      </c>
      <c r="K190" s="15">
        <v>0.0</v>
      </c>
      <c r="L190" s="17"/>
      <c r="M190" s="20" t="s">
        <v>1222</v>
      </c>
    </row>
    <row r="191" ht="15.75" customHeight="1">
      <c r="A191" s="14" t="s">
        <v>97</v>
      </c>
      <c r="B191" s="15">
        <v>73.0</v>
      </c>
      <c r="C191" s="17" t="s">
        <v>1225</v>
      </c>
      <c r="D191" s="16" t="s">
        <v>68</v>
      </c>
      <c r="E191" s="15">
        <v>10564.0</v>
      </c>
      <c r="F191" s="19">
        <v>0.9999053478466635</v>
      </c>
      <c r="G191" s="15">
        <v>0.0</v>
      </c>
      <c r="H191" s="15">
        <v>0.0</v>
      </c>
      <c r="I191" s="15">
        <v>1.0</v>
      </c>
      <c r="J191" s="15">
        <v>0.0</v>
      </c>
      <c r="K191" s="15">
        <v>0.0</v>
      </c>
      <c r="L191" s="17"/>
      <c r="M191" s="20" t="s">
        <v>1214</v>
      </c>
    </row>
    <row r="192" ht="15.75" customHeight="1">
      <c r="A192" s="14" t="s">
        <v>97</v>
      </c>
      <c r="B192" s="15">
        <v>74.0</v>
      </c>
      <c r="C192" s="17" t="s">
        <v>571</v>
      </c>
      <c r="D192" s="16" t="s">
        <v>458</v>
      </c>
      <c r="E192" s="15">
        <v>4773.0</v>
      </c>
      <c r="F192" s="19">
        <v>0.4517747278750592</v>
      </c>
      <c r="G192" s="15">
        <v>0.0</v>
      </c>
      <c r="H192" s="15">
        <v>0.0</v>
      </c>
      <c r="I192" s="15">
        <v>5317.0</v>
      </c>
      <c r="J192" s="15">
        <v>0.0</v>
      </c>
      <c r="K192" s="15">
        <v>9.0</v>
      </c>
      <c r="L192" s="17"/>
      <c r="M192" s="20" t="s">
        <v>1227</v>
      </c>
    </row>
    <row r="193" ht="15.75" customHeight="1">
      <c r="A193" s="14" t="s">
        <v>97</v>
      </c>
      <c r="B193" s="15">
        <v>75.0</v>
      </c>
      <c r="C193" s="17" t="s">
        <v>573</v>
      </c>
      <c r="D193" s="16" t="s">
        <v>458</v>
      </c>
      <c r="E193" s="15">
        <v>9119.0</v>
      </c>
      <c r="F193" s="19">
        <v>0.8631329862754378</v>
      </c>
      <c r="G193" s="15">
        <v>0.0</v>
      </c>
      <c r="H193" s="15">
        <v>0.0</v>
      </c>
      <c r="I193" s="15">
        <v>1381.0</v>
      </c>
      <c r="J193" s="15">
        <v>0.0</v>
      </c>
      <c r="K193" s="15">
        <v>13.0</v>
      </c>
      <c r="L193" s="17"/>
      <c r="M193" s="20" t="s">
        <v>1232</v>
      </c>
    </row>
    <row r="194" ht="15.75" customHeight="1">
      <c r="A194" s="14" t="s">
        <v>97</v>
      </c>
      <c r="B194" s="15">
        <v>76.0</v>
      </c>
      <c r="C194" s="17" t="s">
        <v>574</v>
      </c>
      <c r="D194" s="16" t="s">
        <v>458</v>
      </c>
      <c r="E194" s="15">
        <v>9608.0</v>
      </c>
      <c r="F194" s="19">
        <v>0.9094178892569806</v>
      </c>
      <c r="G194" s="15">
        <v>0.0</v>
      </c>
      <c r="H194" s="15">
        <v>0.0</v>
      </c>
      <c r="I194" s="15">
        <v>910.0</v>
      </c>
      <c r="J194" s="15">
        <v>0.0</v>
      </c>
      <c r="K194" s="15">
        <v>13.0</v>
      </c>
      <c r="L194" s="17"/>
      <c r="M194" s="20" t="s">
        <v>1235</v>
      </c>
    </row>
    <row r="195" ht="15.75" customHeight="1">
      <c r="A195" s="14" t="s">
        <v>97</v>
      </c>
      <c r="B195" s="15">
        <v>77.0</v>
      </c>
      <c r="C195" s="17" t="s">
        <v>577</v>
      </c>
      <c r="D195" s="16" t="s">
        <v>458</v>
      </c>
      <c r="E195" s="15">
        <v>10469.0</v>
      </c>
      <c r="F195" s="19">
        <v>0.9909133932796971</v>
      </c>
      <c r="G195" s="15">
        <v>0.0</v>
      </c>
      <c r="H195" s="15">
        <v>0.0</v>
      </c>
      <c r="I195" s="15">
        <v>94.0</v>
      </c>
      <c r="J195" s="15">
        <v>0.0</v>
      </c>
      <c r="K195" s="15">
        <v>6.0</v>
      </c>
      <c r="L195" s="17"/>
      <c r="M195" s="20" t="s">
        <v>1239</v>
      </c>
    </row>
    <row r="196" ht="15.75" customHeight="1">
      <c r="A196" s="14" t="s">
        <v>97</v>
      </c>
      <c r="B196" s="15">
        <v>78.0</v>
      </c>
      <c r="C196" s="17" t="s">
        <v>821</v>
      </c>
      <c r="D196" s="16" t="s">
        <v>458</v>
      </c>
      <c r="E196" s="15">
        <v>10524.0</v>
      </c>
      <c r="F196" s="19">
        <v>0.996119261713204</v>
      </c>
      <c r="G196" s="15">
        <v>0.0</v>
      </c>
      <c r="H196" s="15">
        <v>0.0</v>
      </c>
      <c r="I196" s="15">
        <v>40.0</v>
      </c>
      <c r="J196" s="15">
        <v>0.0</v>
      </c>
      <c r="K196" s="15">
        <v>1.0</v>
      </c>
      <c r="L196" s="17"/>
      <c r="M196" s="20" t="s">
        <v>1242</v>
      </c>
    </row>
    <row r="197" ht="15.75" customHeight="1">
      <c r="A197" s="14" t="s">
        <v>97</v>
      </c>
      <c r="B197" s="15">
        <v>79.0</v>
      </c>
      <c r="C197" s="17" t="s">
        <v>579</v>
      </c>
      <c r="D197" s="16" t="s">
        <v>458</v>
      </c>
      <c r="E197" s="15">
        <v>10542.0</v>
      </c>
      <c r="F197" s="19">
        <v>0.9978230004732608</v>
      </c>
      <c r="G197" s="15">
        <v>0.0</v>
      </c>
      <c r="H197" s="15">
        <v>0.0</v>
      </c>
      <c r="I197" s="15">
        <v>21.0</v>
      </c>
      <c r="J197" s="15">
        <v>0.0</v>
      </c>
      <c r="K197" s="15">
        <v>0.0</v>
      </c>
      <c r="L197" s="17"/>
      <c r="M197" s="20" t="s">
        <v>1246</v>
      </c>
    </row>
    <row r="198" ht="15.75" customHeight="1">
      <c r="A198" s="14" t="s">
        <v>97</v>
      </c>
      <c r="B198" s="15">
        <v>80.0</v>
      </c>
      <c r="C198" s="17" t="s">
        <v>580</v>
      </c>
      <c r="D198" s="16" t="s">
        <v>458</v>
      </c>
      <c r="E198" s="15">
        <v>10562.0</v>
      </c>
      <c r="F198" s="19">
        <v>0.9997160435399906</v>
      </c>
      <c r="G198" s="15">
        <v>0.0</v>
      </c>
      <c r="H198" s="15">
        <v>0.0</v>
      </c>
      <c r="I198" s="15">
        <v>3.0</v>
      </c>
      <c r="J198" s="15">
        <v>0.0</v>
      </c>
      <c r="K198" s="15">
        <v>0.0</v>
      </c>
      <c r="L198" s="17"/>
      <c r="M198" s="20" t="s">
        <v>1250</v>
      </c>
    </row>
    <row r="199" ht="15.75" customHeight="1">
      <c r="A199" s="14" t="s">
        <v>97</v>
      </c>
      <c r="B199" s="15">
        <v>81.0</v>
      </c>
      <c r="C199" s="17" t="s">
        <v>1258</v>
      </c>
      <c r="D199" s="16" t="s">
        <v>458</v>
      </c>
      <c r="E199" s="15">
        <v>10563.0</v>
      </c>
      <c r="F199" s="19">
        <v>0.999810695693327</v>
      </c>
      <c r="G199" s="15">
        <v>0.0</v>
      </c>
      <c r="H199" s="15">
        <v>0.0</v>
      </c>
      <c r="I199" s="15">
        <v>2.0</v>
      </c>
      <c r="J199" s="15">
        <v>0.0</v>
      </c>
      <c r="K199" s="15">
        <v>0.0</v>
      </c>
      <c r="L199" s="17"/>
      <c r="M199" s="20" t="s">
        <v>1259</v>
      </c>
    </row>
    <row r="200" ht="15.75" customHeight="1">
      <c r="A200" s="14" t="s">
        <v>97</v>
      </c>
      <c r="B200" s="15">
        <v>82.0</v>
      </c>
      <c r="C200" s="17" t="s">
        <v>1266</v>
      </c>
      <c r="D200" s="16" t="s">
        <v>458</v>
      </c>
      <c r="E200" s="15">
        <v>10564.0</v>
      </c>
      <c r="F200" s="19">
        <v>0.9999053478466635</v>
      </c>
      <c r="G200" s="15">
        <v>0.0</v>
      </c>
      <c r="H200" s="15">
        <v>0.0</v>
      </c>
      <c r="I200" s="15">
        <v>1.0</v>
      </c>
      <c r="J200" s="15">
        <v>0.0</v>
      </c>
      <c r="K200" s="15">
        <v>0.0</v>
      </c>
      <c r="L200" s="17"/>
      <c r="M200" s="20" t="s">
        <v>1267</v>
      </c>
    </row>
    <row r="201" ht="15.75" customHeight="1">
      <c r="A201" s="14" t="s">
        <v>97</v>
      </c>
      <c r="B201" s="15">
        <v>83.0</v>
      </c>
      <c r="C201" s="17" t="s">
        <v>1275</v>
      </c>
      <c r="D201" s="16" t="s">
        <v>458</v>
      </c>
      <c r="E201" s="15">
        <v>10564.0</v>
      </c>
      <c r="F201" s="19">
        <v>0.9999053478466635</v>
      </c>
      <c r="G201" s="15">
        <v>0.0</v>
      </c>
      <c r="H201" s="15">
        <v>0.0</v>
      </c>
      <c r="I201" s="15">
        <v>1.0</v>
      </c>
      <c r="J201" s="15">
        <v>0.0</v>
      </c>
      <c r="K201" s="15">
        <v>0.0</v>
      </c>
      <c r="L201" s="17"/>
      <c r="M201" s="20" t="s">
        <v>1276</v>
      </c>
    </row>
    <row r="202" ht="15.75" customHeight="1">
      <c r="A202" s="14" t="s">
        <v>97</v>
      </c>
      <c r="B202" s="15">
        <v>84.0</v>
      </c>
      <c r="C202" s="17" t="s">
        <v>1287</v>
      </c>
      <c r="D202" s="16" t="s">
        <v>458</v>
      </c>
      <c r="E202" s="15">
        <v>10564.0</v>
      </c>
      <c r="F202" s="19">
        <v>0.9999053478466635</v>
      </c>
      <c r="G202" s="15">
        <v>0.0</v>
      </c>
      <c r="H202" s="15">
        <v>0.0</v>
      </c>
      <c r="I202" s="15">
        <v>1.0</v>
      </c>
      <c r="J202" s="15">
        <v>0.0</v>
      </c>
      <c r="K202" s="15">
        <v>0.0</v>
      </c>
      <c r="L202" s="17"/>
      <c r="M202" s="20" t="s">
        <v>1289</v>
      </c>
    </row>
    <row r="203" ht="15.75" customHeight="1">
      <c r="A203" s="14" t="s">
        <v>97</v>
      </c>
      <c r="B203" s="15">
        <v>85.0</v>
      </c>
      <c r="C203" s="17" t="s">
        <v>1300</v>
      </c>
      <c r="D203" s="16" t="s">
        <v>458</v>
      </c>
      <c r="E203" s="15">
        <v>10564.0</v>
      </c>
      <c r="F203" s="19">
        <v>0.9999053478466635</v>
      </c>
      <c r="G203" s="15">
        <v>0.0</v>
      </c>
      <c r="H203" s="15">
        <v>0.0</v>
      </c>
      <c r="I203" s="15">
        <v>1.0</v>
      </c>
      <c r="J203" s="15">
        <v>0.0</v>
      </c>
      <c r="K203" s="15">
        <v>0.0</v>
      </c>
      <c r="L203" s="17"/>
      <c r="M203" s="20" t="s">
        <v>1301</v>
      </c>
    </row>
    <row r="204" ht="15.75" customHeight="1">
      <c r="A204" s="14" t="s">
        <v>97</v>
      </c>
      <c r="B204" s="15">
        <v>86.0</v>
      </c>
      <c r="C204" s="17" t="s">
        <v>1310</v>
      </c>
      <c r="D204" s="16" t="s">
        <v>458</v>
      </c>
      <c r="E204" s="15">
        <v>10564.0</v>
      </c>
      <c r="F204" s="19">
        <v>0.9999053478466635</v>
      </c>
      <c r="G204" s="15">
        <v>0.0</v>
      </c>
      <c r="H204" s="15">
        <v>0.0</v>
      </c>
      <c r="I204" s="15">
        <v>1.0</v>
      </c>
      <c r="J204" s="15">
        <v>0.0</v>
      </c>
      <c r="K204" s="15">
        <v>0.0</v>
      </c>
      <c r="L204" s="17"/>
      <c r="M204" s="20" t="s">
        <v>1312</v>
      </c>
    </row>
    <row r="205" ht="15.75" customHeight="1">
      <c r="A205" s="14" t="s">
        <v>97</v>
      </c>
      <c r="B205" s="15">
        <v>87.0</v>
      </c>
      <c r="C205" s="17" t="s">
        <v>1324</v>
      </c>
      <c r="D205" s="16" t="s">
        <v>458</v>
      </c>
      <c r="E205" s="15">
        <v>10564.0</v>
      </c>
      <c r="F205" s="19">
        <v>0.9999053478466635</v>
      </c>
      <c r="G205" s="15">
        <v>0.0</v>
      </c>
      <c r="H205" s="15">
        <v>0.0</v>
      </c>
      <c r="I205" s="15">
        <v>1.0</v>
      </c>
      <c r="J205" s="15">
        <v>0.0</v>
      </c>
      <c r="K205" s="15">
        <v>0.0</v>
      </c>
      <c r="L205" s="17"/>
      <c r="M205" s="20" t="s">
        <v>1326</v>
      </c>
    </row>
    <row r="206" ht="15.75" customHeight="1">
      <c r="A206" s="14" t="s">
        <v>97</v>
      </c>
      <c r="B206" s="15">
        <v>88.0</v>
      </c>
      <c r="C206" s="17" t="s">
        <v>1338</v>
      </c>
      <c r="D206" s="16" t="s">
        <v>458</v>
      </c>
      <c r="E206" s="15">
        <v>10564.0</v>
      </c>
      <c r="F206" s="19">
        <v>0.9999053478466635</v>
      </c>
      <c r="G206" s="15">
        <v>0.0</v>
      </c>
      <c r="H206" s="15">
        <v>0.0</v>
      </c>
      <c r="I206" s="15">
        <v>1.0</v>
      </c>
      <c r="J206" s="15">
        <v>0.0</v>
      </c>
      <c r="K206" s="15">
        <v>0.0</v>
      </c>
      <c r="L206" s="17"/>
      <c r="M206" s="20" t="s">
        <v>1341</v>
      </c>
    </row>
    <row r="207" ht="15.75" customHeight="1">
      <c r="A207" s="14" t="s">
        <v>97</v>
      </c>
      <c r="B207" s="15">
        <v>89.0</v>
      </c>
      <c r="C207" s="17" t="s">
        <v>1351</v>
      </c>
      <c r="D207" s="16" t="s">
        <v>458</v>
      </c>
      <c r="E207" s="15">
        <v>10564.0</v>
      </c>
      <c r="F207" s="19">
        <v>0.9999053478466635</v>
      </c>
      <c r="G207" s="15">
        <v>0.0</v>
      </c>
      <c r="H207" s="15">
        <v>0.0</v>
      </c>
      <c r="I207" s="15">
        <v>1.0</v>
      </c>
      <c r="J207" s="15">
        <v>0.0</v>
      </c>
      <c r="K207" s="15">
        <v>0.0</v>
      </c>
      <c r="L207" s="17"/>
      <c r="M207" s="20" t="s">
        <v>1352</v>
      </c>
    </row>
    <row r="208" ht="15.75" customHeight="1">
      <c r="A208" s="14" t="s">
        <v>97</v>
      </c>
      <c r="B208" s="15">
        <v>90.0</v>
      </c>
      <c r="C208" s="17" t="s">
        <v>1359</v>
      </c>
      <c r="D208" s="16" t="s">
        <v>458</v>
      </c>
      <c r="E208" s="15">
        <v>10564.0</v>
      </c>
      <c r="F208" s="19">
        <v>0.9999053478466635</v>
      </c>
      <c r="G208" s="15">
        <v>0.0</v>
      </c>
      <c r="H208" s="15">
        <v>0.0</v>
      </c>
      <c r="I208" s="15">
        <v>1.0</v>
      </c>
      <c r="J208" s="15">
        <v>0.0</v>
      </c>
      <c r="K208" s="15">
        <v>0.0</v>
      </c>
      <c r="L208" s="17"/>
      <c r="M208" s="20" t="s">
        <v>1360</v>
      </c>
    </row>
    <row r="209" ht="15.75" customHeight="1">
      <c r="A209" s="14" t="s">
        <v>97</v>
      </c>
      <c r="B209" s="15">
        <v>91.0</v>
      </c>
      <c r="C209" s="17" t="s">
        <v>384</v>
      </c>
      <c r="D209" s="16" t="s">
        <v>68</v>
      </c>
      <c r="E209" s="15">
        <v>3222.0</v>
      </c>
      <c r="F209" s="19">
        <v>0.3049692380501656</v>
      </c>
      <c r="G209" s="15">
        <v>1.0</v>
      </c>
      <c r="H209" s="15">
        <v>0.0</v>
      </c>
      <c r="I209" s="15">
        <v>6742.0</v>
      </c>
      <c r="J209" s="15">
        <v>88.0</v>
      </c>
      <c r="K209" s="15">
        <v>1437.0</v>
      </c>
      <c r="L209" s="17"/>
      <c r="M209" s="20" t="s">
        <v>1364</v>
      </c>
    </row>
    <row r="210" ht="15.75" customHeight="1">
      <c r="A210" s="14" t="s">
        <v>97</v>
      </c>
      <c r="B210" s="15">
        <v>92.0</v>
      </c>
      <c r="C210" s="17" t="s">
        <v>1136</v>
      </c>
      <c r="D210" s="16" t="s">
        <v>68</v>
      </c>
      <c r="E210" s="15">
        <v>3213.0</v>
      </c>
      <c r="F210" s="19">
        <v>0.3041173686701372</v>
      </c>
      <c r="G210" s="15">
        <v>5862.0</v>
      </c>
      <c r="H210" s="15">
        <v>0.0</v>
      </c>
      <c r="I210" s="15">
        <v>12.0</v>
      </c>
      <c r="J210" s="15">
        <v>189.0</v>
      </c>
      <c r="K210" s="15">
        <v>0.0</v>
      </c>
      <c r="L210" s="17"/>
      <c r="M210" s="20" t="s">
        <v>1367</v>
      </c>
    </row>
    <row r="211" ht="15.75" customHeight="1">
      <c r="A211" s="14" t="s">
        <v>97</v>
      </c>
      <c r="B211" s="15">
        <v>93.0</v>
      </c>
      <c r="C211" s="17" t="s">
        <v>1107</v>
      </c>
      <c r="D211" s="16" t="s">
        <v>68</v>
      </c>
      <c r="E211" s="15">
        <v>10112.0</v>
      </c>
      <c r="F211" s="19">
        <v>0.9571225745385707</v>
      </c>
      <c r="G211" s="15">
        <v>0.0</v>
      </c>
      <c r="H211" s="15">
        <v>0.0</v>
      </c>
      <c r="I211" s="15">
        <v>409.0</v>
      </c>
      <c r="J211" s="15">
        <v>21.0</v>
      </c>
      <c r="K211" s="15">
        <v>36.0</v>
      </c>
      <c r="L211" s="17"/>
      <c r="M211" s="20" t="s">
        <v>1369</v>
      </c>
    </row>
    <row r="212" ht="15.75" customHeight="1">
      <c r="A212" s="14" t="s">
        <v>97</v>
      </c>
      <c r="B212" s="15">
        <v>94.0</v>
      </c>
      <c r="C212" s="17" t="s">
        <v>1371</v>
      </c>
      <c r="D212" s="16" t="s">
        <v>138</v>
      </c>
      <c r="E212" s="15">
        <v>3213.0</v>
      </c>
      <c r="F212" s="19">
        <v>0.3041173686701372</v>
      </c>
      <c r="G212" s="15">
        <v>0.0</v>
      </c>
      <c r="H212" s="15">
        <v>0.0</v>
      </c>
      <c r="I212" s="15">
        <v>5.0</v>
      </c>
      <c r="J212" s="15">
        <v>0.0</v>
      </c>
      <c r="K212" s="15">
        <v>0.0</v>
      </c>
      <c r="L212" s="17"/>
      <c r="M212" s="20" t="s">
        <v>1372</v>
      </c>
    </row>
    <row r="213" ht="15.75" customHeight="1">
      <c r="A213" s="14" t="s">
        <v>97</v>
      </c>
      <c r="B213" s="15">
        <v>95.0</v>
      </c>
      <c r="C213" s="17" t="s">
        <v>1374</v>
      </c>
      <c r="D213" s="16" t="s">
        <v>357</v>
      </c>
      <c r="E213" s="15">
        <v>3213.0</v>
      </c>
      <c r="F213" s="19">
        <v>0.3041173686701372</v>
      </c>
      <c r="G213" s="15">
        <v>0.0</v>
      </c>
      <c r="H213" s="15">
        <v>0.0</v>
      </c>
      <c r="I213" s="15">
        <v>2.0</v>
      </c>
      <c r="J213" s="15">
        <v>0.0</v>
      </c>
      <c r="K213" s="15">
        <v>0.0</v>
      </c>
      <c r="L213" s="17"/>
      <c r="M213" s="20" t="s">
        <v>930</v>
      </c>
    </row>
    <row r="214" ht="15.75" customHeight="1">
      <c r="A214" s="14" t="s">
        <v>97</v>
      </c>
      <c r="B214" s="15">
        <v>96.0</v>
      </c>
      <c r="C214" s="17" t="s">
        <v>1376</v>
      </c>
      <c r="D214" s="16" t="s">
        <v>357</v>
      </c>
      <c r="E214" s="15">
        <v>3213.0</v>
      </c>
      <c r="F214" s="19">
        <v>0.3041173686701372</v>
      </c>
      <c r="G214" s="15">
        <v>0.0</v>
      </c>
      <c r="H214" s="15">
        <v>0.0</v>
      </c>
      <c r="I214" s="15">
        <v>1.0</v>
      </c>
      <c r="J214" s="15">
        <v>0.0</v>
      </c>
      <c r="K214" s="15">
        <v>0.0</v>
      </c>
      <c r="L214" s="17"/>
      <c r="M214" s="20" t="s">
        <v>75</v>
      </c>
    </row>
    <row r="215" ht="15.75" customHeight="1">
      <c r="A215" s="14" t="s">
        <v>97</v>
      </c>
      <c r="B215" s="15">
        <v>97.0</v>
      </c>
      <c r="C215" s="17" t="s">
        <v>1137</v>
      </c>
      <c r="D215" s="16" t="s">
        <v>68</v>
      </c>
      <c r="E215" s="15">
        <v>4583.0</v>
      </c>
      <c r="F215" s="19">
        <v>0.43379081874112635</v>
      </c>
      <c r="G215" s="15">
        <v>0.0</v>
      </c>
      <c r="H215" s="15">
        <v>0.0</v>
      </c>
      <c r="I215" s="15">
        <v>20.0</v>
      </c>
      <c r="J215" s="15">
        <v>194.0</v>
      </c>
      <c r="K215" s="15">
        <v>0.0</v>
      </c>
      <c r="L215" s="17"/>
      <c r="M215" s="20" t="s">
        <v>1378</v>
      </c>
    </row>
    <row r="216" ht="15.75" customHeight="1">
      <c r="A216" s="14" t="s">
        <v>97</v>
      </c>
      <c r="B216" s="15">
        <v>98.0</v>
      </c>
      <c r="C216" s="17" t="s">
        <v>881</v>
      </c>
      <c r="D216" s="16" t="s">
        <v>138</v>
      </c>
      <c r="E216" s="15">
        <v>10554.0</v>
      </c>
      <c r="F216" s="19">
        <v>0.9989588263132986</v>
      </c>
      <c r="G216" s="15">
        <v>0.0</v>
      </c>
      <c r="H216" s="15">
        <v>0.0</v>
      </c>
      <c r="I216" s="15">
        <v>11.0</v>
      </c>
      <c r="J216" s="15">
        <v>0.0</v>
      </c>
      <c r="K216" s="15">
        <v>1.0</v>
      </c>
      <c r="L216" s="17"/>
      <c r="M216" s="20" t="s">
        <v>1380</v>
      </c>
    </row>
    <row r="217" ht="15.75" customHeight="1">
      <c r="A217" s="14" t="s">
        <v>97</v>
      </c>
      <c r="B217" s="15">
        <v>99.0</v>
      </c>
      <c r="C217" s="17" t="s">
        <v>601</v>
      </c>
      <c r="D217" s="16" t="s">
        <v>458</v>
      </c>
      <c r="E217" s="15">
        <v>10336.0</v>
      </c>
      <c r="F217" s="19">
        <v>0.9783246568859442</v>
      </c>
      <c r="G217" s="15">
        <v>0.0</v>
      </c>
      <c r="H217" s="15">
        <v>0.0</v>
      </c>
      <c r="I217" s="15">
        <v>220.0</v>
      </c>
      <c r="J217" s="15">
        <v>0.0</v>
      </c>
      <c r="K217" s="15">
        <v>0.0</v>
      </c>
      <c r="L217" s="17"/>
      <c r="M217" s="20" t="s">
        <v>1381</v>
      </c>
    </row>
    <row r="218" ht="15.75" customHeight="1">
      <c r="A218" s="14" t="s">
        <v>97</v>
      </c>
      <c r="B218" s="15">
        <v>100.0</v>
      </c>
      <c r="C218" s="17" t="s">
        <v>855</v>
      </c>
      <c r="D218" s="16" t="s">
        <v>68</v>
      </c>
      <c r="E218" s="15">
        <v>4292.0</v>
      </c>
      <c r="F218" s="19">
        <v>0.40624704212020823</v>
      </c>
      <c r="G218" s="15">
        <v>0.0</v>
      </c>
      <c r="H218" s="15">
        <v>0.0</v>
      </c>
      <c r="I218" s="15">
        <v>5855.0</v>
      </c>
      <c r="J218" s="15">
        <v>0.0</v>
      </c>
      <c r="K218" s="15">
        <v>6.0</v>
      </c>
      <c r="L218" s="17"/>
      <c r="M218" s="20" t="s">
        <v>1382</v>
      </c>
    </row>
    <row r="219" ht="15.75" customHeight="1">
      <c r="A219" s="14" t="s">
        <v>97</v>
      </c>
      <c r="B219" s="15">
        <v>101.0</v>
      </c>
      <c r="C219" s="17" t="s">
        <v>1113</v>
      </c>
      <c r="D219" s="16" t="s">
        <v>68</v>
      </c>
      <c r="E219" s="15">
        <v>4292.0</v>
      </c>
      <c r="F219" s="19">
        <v>0.40624704212020823</v>
      </c>
      <c r="G219" s="15">
        <v>5074.0</v>
      </c>
      <c r="H219" s="15">
        <v>0.0</v>
      </c>
      <c r="I219" s="15">
        <v>12.0</v>
      </c>
      <c r="J219" s="15">
        <v>43.0</v>
      </c>
      <c r="K219" s="15">
        <v>0.0</v>
      </c>
      <c r="L219" s="17"/>
      <c r="M219" s="20" t="s">
        <v>1090</v>
      </c>
    </row>
    <row r="220" ht="15.75" customHeight="1">
      <c r="A220" s="14" t="s">
        <v>97</v>
      </c>
      <c r="B220" s="15">
        <v>102.0</v>
      </c>
      <c r="C220" s="17" t="s">
        <v>1111</v>
      </c>
      <c r="D220" s="16" t="s">
        <v>68</v>
      </c>
      <c r="E220" s="15">
        <v>4292.0</v>
      </c>
      <c r="F220" s="19">
        <v>0.40624704212020823</v>
      </c>
      <c r="G220" s="15">
        <v>0.0</v>
      </c>
      <c r="H220" s="15">
        <v>0.0</v>
      </c>
      <c r="I220" s="15">
        <v>10.0</v>
      </c>
      <c r="J220" s="15">
        <v>29.0</v>
      </c>
      <c r="K220" s="15">
        <v>0.0</v>
      </c>
      <c r="L220" s="17"/>
      <c r="M220" s="20" t="s">
        <v>1390</v>
      </c>
    </row>
    <row r="221" ht="15.75" customHeight="1">
      <c r="A221" s="14" t="s">
        <v>97</v>
      </c>
      <c r="B221" s="15">
        <v>103.0</v>
      </c>
      <c r="C221" s="17" t="s">
        <v>1112</v>
      </c>
      <c r="D221" s="16" t="s">
        <v>68</v>
      </c>
      <c r="E221" s="15">
        <v>5873.0</v>
      </c>
      <c r="F221" s="19">
        <v>0.5558920965451964</v>
      </c>
      <c r="G221" s="15">
        <v>0.0</v>
      </c>
      <c r="H221" s="15">
        <v>0.0</v>
      </c>
      <c r="I221" s="15">
        <v>7.0</v>
      </c>
      <c r="J221" s="15">
        <v>29.0</v>
      </c>
      <c r="K221" s="15">
        <v>0.0</v>
      </c>
      <c r="L221" s="17"/>
      <c r="M221" s="20" t="s">
        <v>1073</v>
      </c>
    </row>
    <row r="222" ht="15.75" customHeight="1">
      <c r="A222" s="14" t="s">
        <v>97</v>
      </c>
      <c r="B222" s="15">
        <v>104.0</v>
      </c>
      <c r="C222" s="17" t="s">
        <v>860</v>
      </c>
      <c r="D222" s="16" t="s">
        <v>68</v>
      </c>
      <c r="E222" s="15">
        <v>9088.0</v>
      </c>
      <c r="F222" s="19">
        <v>0.8601987695220066</v>
      </c>
      <c r="G222" s="15">
        <v>0.0</v>
      </c>
      <c r="H222" s="15">
        <v>0.0</v>
      </c>
      <c r="I222" s="15">
        <v>1429.0</v>
      </c>
      <c r="J222" s="15">
        <v>0.0</v>
      </c>
      <c r="K222" s="15">
        <v>5.0</v>
      </c>
      <c r="L222" s="17"/>
      <c r="M222" s="20" t="s">
        <v>1404</v>
      </c>
    </row>
    <row r="223" ht="15.75" customHeight="1">
      <c r="A223" s="14" t="s">
        <v>97</v>
      </c>
      <c r="B223" s="15">
        <v>105.0</v>
      </c>
      <c r="C223" s="17" t="s">
        <v>1119</v>
      </c>
      <c r="D223" s="16" t="s">
        <v>68</v>
      </c>
      <c r="E223" s="15">
        <v>9088.0</v>
      </c>
      <c r="F223" s="19">
        <v>0.8601987695220066</v>
      </c>
      <c r="G223" s="15">
        <v>566.0</v>
      </c>
      <c r="H223" s="15">
        <v>0.0</v>
      </c>
      <c r="I223" s="15">
        <v>11.0</v>
      </c>
      <c r="J223" s="15">
        <v>22.0</v>
      </c>
      <c r="K223" s="15">
        <v>0.0</v>
      </c>
      <c r="L223" s="17"/>
      <c r="M223" s="20" t="s">
        <v>1055</v>
      </c>
    </row>
    <row r="224" ht="15.75" customHeight="1">
      <c r="A224" s="14" t="s">
        <v>97</v>
      </c>
      <c r="B224" s="15">
        <v>106.0</v>
      </c>
      <c r="C224" s="17" t="s">
        <v>1114</v>
      </c>
      <c r="D224" s="16" t="s">
        <v>68</v>
      </c>
      <c r="E224" s="15">
        <v>9088.0</v>
      </c>
      <c r="F224" s="19">
        <v>0.8601987695220066</v>
      </c>
      <c r="G224" s="15">
        <v>0.0</v>
      </c>
      <c r="H224" s="15">
        <v>0.0</v>
      </c>
      <c r="I224" s="15">
        <v>7.0</v>
      </c>
      <c r="J224" s="15">
        <v>14.0</v>
      </c>
      <c r="K224" s="15">
        <v>0.0</v>
      </c>
      <c r="L224" s="17"/>
      <c r="M224" s="20" t="s">
        <v>1044</v>
      </c>
    </row>
    <row r="225" ht="15.75" customHeight="1">
      <c r="A225" s="14" t="s">
        <v>97</v>
      </c>
      <c r="B225" s="15">
        <v>107.0</v>
      </c>
      <c r="C225" s="17" t="s">
        <v>1115</v>
      </c>
      <c r="D225" s="16" t="s">
        <v>68</v>
      </c>
      <c r="E225" s="15">
        <v>9951.0</v>
      </c>
      <c r="F225" s="19">
        <v>0.9418835778513961</v>
      </c>
      <c r="G225" s="15">
        <v>0.0</v>
      </c>
      <c r="H225" s="15">
        <v>0.0</v>
      </c>
      <c r="I225" s="15">
        <v>6.0</v>
      </c>
      <c r="J225" s="15">
        <v>22.0</v>
      </c>
      <c r="K225" s="15">
        <v>0.0</v>
      </c>
      <c r="L225" s="17"/>
      <c r="M225" s="20" t="s">
        <v>1073</v>
      </c>
    </row>
    <row r="226" ht="15.75" customHeight="1">
      <c r="A226" s="14" t="s">
        <v>97</v>
      </c>
      <c r="B226" s="15">
        <v>108.0</v>
      </c>
      <c r="C226" s="17" t="s">
        <v>870</v>
      </c>
      <c r="D226" s="16" t="s">
        <v>68</v>
      </c>
      <c r="E226" s="15">
        <v>9720.0</v>
      </c>
      <c r="F226" s="19">
        <v>0.9200189304306673</v>
      </c>
      <c r="G226" s="15">
        <v>0.0</v>
      </c>
      <c r="H226" s="15">
        <v>0.0</v>
      </c>
      <c r="I226" s="15">
        <v>813.0</v>
      </c>
      <c r="J226" s="15">
        <v>0.0</v>
      </c>
      <c r="K226" s="15">
        <v>1.0</v>
      </c>
      <c r="L226" s="17"/>
      <c r="M226" s="20" t="s">
        <v>1432</v>
      </c>
    </row>
    <row r="227" ht="15.75" customHeight="1">
      <c r="A227" s="14" t="s">
        <v>97</v>
      </c>
      <c r="B227" s="15">
        <v>109.0</v>
      </c>
      <c r="C227" s="17" t="s">
        <v>1125</v>
      </c>
      <c r="D227" s="16" t="s">
        <v>68</v>
      </c>
      <c r="E227" s="15">
        <v>9720.0</v>
      </c>
      <c r="F227" s="19">
        <v>0.9200189304306673</v>
      </c>
      <c r="G227" s="15">
        <v>220.0</v>
      </c>
      <c r="H227" s="15">
        <v>0.0</v>
      </c>
      <c r="I227" s="15">
        <v>9.0</v>
      </c>
      <c r="J227" s="15">
        <v>5.0</v>
      </c>
      <c r="K227" s="15">
        <v>0.0</v>
      </c>
      <c r="L227" s="17"/>
      <c r="M227" s="20" t="s">
        <v>1055</v>
      </c>
    </row>
    <row r="228" ht="15.75" customHeight="1">
      <c r="A228" s="14" t="s">
        <v>97</v>
      </c>
      <c r="B228" s="15">
        <v>110.0</v>
      </c>
      <c r="C228" s="17" t="s">
        <v>1121</v>
      </c>
      <c r="D228" s="16" t="s">
        <v>68</v>
      </c>
      <c r="E228" s="15">
        <v>9720.0</v>
      </c>
      <c r="F228" s="19">
        <v>0.9200189304306673</v>
      </c>
      <c r="G228" s="15">
        <v>0.0</v>
      </c>
      <c r="H228" s="15">
        <v>0.0</v>
      </c>
      <c r="I228" s="15">
        <v>9.0</v>
      </c>
      <c r="J228" s="15">
        <v>11.0</v>
      </c>
      <c r="K228" s="15">
        <v>0.0</v>
      </c>
      <c r="L228" s="17"/>
      <c r="M228" s="20" t="s">
        <v>1436</v>
      </c>
    </row>
    <row r="229" ht="15.75" customHeight="1">
      <c r="A229" s="14" t="s">
        <v>97</v>
      </c>
      <c r="B229" s="15">
        <v>111.0</v>
      </c>
      <c r="C229" s="17" t="s">
        <v>1122</v>
      </c>
      <c r="D229" s="16" t="s">
        <v>68</v>
      </c>
      <c r="E229" s="15">
        <v>10233.0</v>
      </c>
      <c r="F229" s="19">
        <v>0.9685754850922859</v>
      </c>
      <c r="G229" s="15">
        <v>0.0</v>
      </c>
      <c r="H229" s="15">
        <v>0.0</v>
      </c>
      <c r="I229" s="15">
        <v>5.0</v>
      </c>
      <c r="J229" s="15">
        <v>18.0</v>
      </c>
      <c r="K229" s="15">
        <v>0.0</v>
      </c>
      <c r="L229" s="17"/>
      <c r="M229" s="20" t="s">
        <v>1073</v>
      </c>
    </row>
    <row r="230" ht="15.75" customHeight="1">
      <c r="A230" s="14" t="s">
        <v>97</v>
      </c>
      <c r="B230" s="15">
        <v>112.0</v>
      </c>
      <c r="C230" s="17" t="s">
        <v>874</v>
      </c>
      <c r="D230" s="16" t="s">
        <v>68</v>
      </c>
      <c r="E230" s="15">
        <v>10241.0</v>
      </c>
      <c r="F230" s="19">
        <v>0.9693327023189777</v>
      </c>
      <c r="G230" s="15">
        <v>0.0</v>
      </c>
      <c r="H230" s="15">
        <v>0.0</v>
      </c>
      <c r="I230" s="15">
        <v>310.0</v>
      </c>
      <c r="J230" s="15">
        <v>0.0</v>
      </c>
      <c r="K230" s="15">
        <v>1.0</v>
      </c>
      <c r="L230" s="17"/>
      <c r="M230" s="20" t="s">
        <v>1437</v>
      </c>
    </row>
    <row r="231" ht="15.75" customHeight="1">
      <c r="A231" s="14" t="s">
        <v>97</v>
      </c>
      <c r="B231" s="15">
        <v>113.0</v>
      </c>
      <c r="C231" s="17" t="s">
        <v>1131</v>
      </c>
      <c r="D231" s="16" t="s">
        <v>68</v>
      </c>
      <c r="E231" s="15">
        <v>10241.0</v>
      </c>
      <c r="F231" s="19">
        <v>0.9693327023189777</v>
      </c>
      <c r="G231" s="15">
        <v>44.0</v>
      </c>
      <c r="H231" s="15">
        <v>0.0</v>
      </c>
      <c r="I231" s="15">
        <v>8.0</v>
      </c>
      <c r="J231" s="15">
        <v>5.0</v>
      </c>
      <c r="K231" s="15">
        <v>0.0</v>
      </c>
      <c r="L231" s="17"/>
      <c r="M231" s="20" t="s">
        <v>1090</v>
      </c>
    </row>
    <row r="232" ht="15.75" customHeight="1">
      <c r="A232" s="14" t="s">
        <v>97</v>
      </c>
      <c r="B232" s="15">
        <v>114.0</v>
      </c>
      <c r="C232" s="17" t="s">
        <v>1126</v>
      </c>
      <c r="D232" s="16" t="s">
        <v>68</v>
      </c>
      <c r="E232" s="15">
        <v>10241.0</v>
      </c>
      <c r="F232" s="19">
        <v>0.9693327023189777</v>
      </c>
      <c r="G232" s="15">
        <v>0.0</v>
      </c>
      <c r="H232" s="15">
        <v>0.0</v>
      </c>
      <c r="I232" s="15">
        <v>7.0</v>
      </c>
      <c r="J232" s="15">
        <v>3.0</v>
      </c>
      <c r="K232" s="15">
        <v>0.0</v>
      </c>
      <c r="L232" s="17"/>
      <c r="M232" s="20" t="s">
        <v>1044</v>
      </c>
    </row>
    <row r="233" ht="15.75" customHeight="1">
      <c r="A233" s="14" t="s">
        <v>97</v>
      </c>
      <c r="B233" s="15">
        <v>115.0</v>
      </c>
      <c r="C233" s="17" t="s">
        <v>1129</v>
      </c>
      <c r="D233" s="16" t="s">
        <v>68</v>
      </c>
      <c r="E233" s="15">
        <v>10422.0</v>
      </c>
      <c r="F233" s="19">
        <v>0.9864647420728822</v>
      </c>
      <c r="G233" s="15">
        <v>0.0</v>
      </c>
      <c r="H233" s="15">
        <v>0.0</v>
      </c>
      <c r="I233" s="15">
        <v>6.0</v>
      </c>
      <c r="J233" s="15">
        <v>18.0</v>
      </c>
      <c r="K233" s="15">
        <v>0.0</v>
      </c>
      <c r="L233" s="17"/>
      <c r="M233" s="20" t="s">
        <v>1439</v>
      </c>
    </row>
    <row r="234" ht="15.75" customHeight="1">
      <c r="A234" s="14" t="s">
        <v>97</v>
      </c>
      <c r="B234" s="15">
        <v>116.0</v>
      </c>
      <c r="C234" s="17" t="s">
        <v>876</v>
      </c>
      <c r="D234" s="16" t="s">
        <v>68</v>
      </c>
      <c r="E234" s="15">
        <v>10363.0</v>
      </c>
      <c r="F234" s="19">
        <v>0.9808802650260293</v>
      </c>
      <c r="G234" s="15">
        <v>0.0</v>
      </c>
      <c r="H234" s="15">
        <v>0.0</v>
      </c>
      <c r="I234" s="15">
        <v>189.0</v>
      </c>
      <c r="J234" s="15">
        <v>0.0</v>
      </c>
      <c r="K234" s="15">
        <v>1.0</v>
      </c>
      <c r="L234" s="17"/>
      <c r="M234" s="20" t="s">
        <v>1440</v>
      </c>
    </row>
    <row r="235" ht="15.75" customHeight="1">
      <c r="A235" s="14" t="s">
        <v>97</v>
      </c>
      <c r="B235" s="15">
        <v>117.0</v>
      </c>
      <c r="C235" s="17" t="s">
        <v>1134</v>
      </c>
      <c r="D235" s="16" t="s">
        <v>68</v>
      </c>
      <c r="E235" s="15">
        <v>10363.0</v>
      </c>
      <c r="F235" s="19">
        <v>0.9808802650260293</v>
      </c>
      <c r="G235" s="15">
        <v>26.0</v>
      </c>
      <c r="H235" s="15">
        <v>0.0</v>
      </c>
      <c r="I235" s="15">
        <v>6.0</v>
      </c>
      <c r="J235" s="15">
        <v>2.0</v>
      </c>
      <c r="K235" s="15">
        <v>0.0</v>
      </c>
      <c r="L235" s="17"/>
      <c r="M235" s="20" t="s">
        <v>1055</v>
      </c>
    </row>
    <row r="236" ht="15.75" customHeight="1">
      <c r="A236" s="14" t="s">
        <v>97</v>
      </c>
      <c r="B236" s="15">
        <v>118.0</v>
      </c>
      <c r="C236" s="17" t="s">
        <v>1442</v>
      </c>
      <c r="D236" s="16" t="s">
        <v>68</v>
      </c>
      <c r="E236" s="15">
        <v>10363.0</v>
      </c>
      <c r="F236" s="19">
        <v>0.9808802650260293</v>
      </c>
      <c r="G236" s="15">
        <v>0.0</v>
      </c>
      <c r="H236" s="15">
        <v>0.0</v>
      </c>
      <c r="I236" s="15">
        <v>4.0</v>
      </c>
      <c r="J236" s="15">
        <v>0.0</v>
      </c>
      <c r="K236" s="15">
        <v>0.0</v>
      </c>
      <c r="L236" s="17"/>
      <c r="M236" s="20" t="s">
        <v>1044</v>
      </c>
    </row>
    <row r="237" ht="15.75" customHeight="1">
      <c r="A237" s="14" t="s">
        <v>97</v>
      </c>
      <c r="B237" s="15">
        <v>119.0</v>
      </c>
      <c r="C237" s="17" t="s">
        <v>1133</v>
      </c>
      <c r="D237" s="16" t="s">
        <v>68</v>
      </c>
      <c r="E237" s="15">
        <v>10448.0</v>
      </c>
      <c r="F237" s="19">
        <v>0.9889256980596308</v>
      </c>
      <c r="G237" s="15">
        <v>0.0</v>
      </c>
      <c r="H237" s="15">
        <v>0.0</v>
      </c>
      <c r="I237" s="15">
        <v>4.0</v>
      </c>
      <c r="J237" s="15">
        <v>14.0</v>
      </c>
      <c r="K237" s="15">
        <v>0.0</v>
      </c>
      <c r="L237" s="17"/>
      <c r="M237" s="20" t="s">
        <v>1439</v>
      </c>
    </row>
    <row r="238" ht="15.75" customHeight="1">
      <c r="A238" s="14" t="s">
        <v>97</v>
      </c>
      <c r="B238" s="15">
        <v>120.0</v>
      </c>
      <c r="C238" s="17" t="s">
        <v>1448</v>
      </c>
      <c r="D238" s="16" t="s">
        <v>68</v>
      </c>
      <c r="E238" s="15">
        <v>10513.0</v>
      </c>
      <c r="F238" s="19">
        <v>0.9950780880265025</v>
      </c>
      <c r="G238" s="15">
        <v>0.0</v>
      </c>
      <c r="H238" s="15">
        <v>0.0</v>
      </c>
      <c r="I238" s="15">
        <v>51.0</v>
      </c>
      <c r="J238" s="15">
        <v>0.0</v>
      </c>
      <c r="K238" s="15">
        <v>0.0</v>
      </c>
      <c r="L238" s="17"/>
      <c r="M238" s="20" t="s">
        <v>1449</v>
      </c>
    </row>
    <row r="239" ht="15.75" customHeight="1">
      <c r="A239" s="14" t="s">
        <v>97</v>
      </c>
      <c r="B239" s="15">
        <v>121.0</v>
      </c>
      <c r="C239" s="17" t="s">
        <v>1455</v>
      </c>
      <c r="D239" s="16" t="s">
        <v>68</v>
      </c>
      <c r="E239" s="15">
        <v>10513.0</v>
      </c>
      <c r="F239" s="19">
        <v>0.9950780880265025</v>
      </c>
      <c r="G239" s="15">
        <v>8.0</v>
      </c>
      <c r="H239" s="15">
        <v>0.0</v>
      </c>
      <c r="I239" s="15">
        <v>4.0</v>
      </c>
      <c r="J239" s="15">
        <v>0.0</v>
      </c>
      <c r="K239" s="15">
        <v>0.0</v>
      </c>
      <c r="L239" s="17"/>
      <c r="M239" s="20" t="s">
        <v>1090</v>
      </c>
    </row>
    <row r="240" ht="15.75" customHeight="1">
      <c r="A240" s="14" t="s">
        <v>97</v>
      </c>
      <c r="B240" s="15">
        <v>122.0</v>
      </c>
      <c r="C240" s="17" t="s">
        <v>1459</v>
      </c>
      <c r="D240" s="16" t="s">
        <v>68</v>
      </c>
      <c r="E240" s="15">
        <v>10513.0</v>
      </c>
      <c r="F240" s="19">
        <v>0.9950780880265025</v>
      </c>
      <c r="G240" s="15">
        <v>0.0</v>
      </c>
      <c r="H240" s="15">
        <v>0.0</v>
      </c>
      <c r="I240" s="15">
        <v>4.0</v>
      </c>
      <c r="J240" s="15">
        <v>0.0</v>
      </c>
      <c r="K240" s="15">
        <v>0.0</v>
      </c>
      <c r="L240" s="17"/>
      <c r="M240" s="20" t="s">
        <v>1462</v>
      </c>
    </row>
    <row r="241" ht="15.75" customHeight="1">
      <c r="A241" s="14" t="s">
        <v>97</v>
      </c>
      <c r="B241" s="15">
        <v>123.0</v>
      </c>
      <c r="C241" s="17" t="s">
        <v>1471</v>
      </c>
      <c r="D241" s="16" t="s">
        <v>68</v>
      </c>
      <c r="E241" s="15">
        <v>10556.0</v>
      </c>
      <c r="F241" s="19">
        <v>0.9991481306199717</v>
      </c>
      <c r="G241" s="15">
        <v>0.0</v>
      </c>
      <c r="H241" s="15">
        <v>0.0</v>
      </c>
      <c r="I241" s="15">
        <v>2.0</v>
      </c>
      <c r="J241" s="15">
        <v>0.0</v>
      </c>
      <c r="K241" s="15">
        <v>0.0</v>
      </c>
      <c r="L241" s="17"/>
      <c r="M241" s="20" t="s">
        <v>1472</v>
      </c>
    </row>
    <row r="242" ht="15.75" customHeight="1">
      <c r="A242" s="14" t="s">
        <v>97</v>
      </c>
      <c r="B242" s="15">
        <v>124.0</v>
      </c>
      <c r="C242" s="17" t="s">
        <v>1481</v>
      </c>
      <c r="D242" s="16" t="s">
        <v>68</v>
      </c>
      <c r="E242" s="15">
        <v>10542.0</v>
      </c>
      <c r="F242" s="19">
        <v>0.9978230004732608</v>
      </c>
      <c r="G242" s="15">
        <v>0.0</v>
      </c>
      <c r="H242" s="15">
        <v>0.0</v>
      </c>
      <c r="I242" s="15">
        <v>23.0</v>
      </c>
      <c r="J242" s="15">
        <v>0.0</v>
      </c>
      <c r="K242" s="15">
        <v>0.0</v>
      </c>
      <c r="L242" s="17"/>
      <c r="M242" s="20" t="s">
        <v>1483</v>
      </c>
    </row>
    <row r="243" ht="15.75" customHeight="1">
      <c r="A243" s="14" t="s">
        <v>97</v>
      </c>
      <c r="B243" s="15">
        <v>125.0</v>
      </c>
      <c r="C243" s="17" t="s">
        <v>1488</v>
      </c>
      <c r="D243" s="16" t="s">
        <v>68</v>
      </c>
      <c r="E243" s="15">
        <v>10542.0</v>
      </c>
      <c r="F243" s="19">
        <v>0.9978230004732608</v>
      </c>
      <c r="G243" s="15">
        <v>3.0</v>
      </c>
      <c r="H243" s="15">
        <v>0.0</v>
      </c>
      <c r="I243" s="15">
        <v>4.0</v>
      </c>
      <c r="J243" s="15">
        <v>0.0</v>
      </c>
      <c r="K243" s="15">
        <v>0.0</v>
      </c>
      <c r="L243" s="17"/>
      <c r="M243" s="20" t="s">
        <v>1090</v>
      </c>
    </row>
    <row r="244" ht="15.75" customHeight="1">
      <c r="A244" s="14" t="s">
        <v>97</v>
      </c>
      <c r="B244" s="15">
        <v>126.0</v>
      </c>
      <c r="C244" s="17" t="s">
        <v>1493</v>
      </c>
      <c r="D244" s="16" t="s">
        <v>68</v>
      </c>
      <c r="E244" s="15">
        <v>10542.0</v>
      </c>
      <c r="F244" s="19">
        <v>0.9978230004732608</v>
      </c>
      <c r="G244" s="15">
        <v>0.0</v>
      </c>
      <c r="H244" s="15">
        <v>0.0</v>
      </c>
      <c r="I244" s="15">
        <v>3.0</v>
      </c>
      <c r="J244" s="15">
        <v>0.0</v>
      </c>
      <c r="K244" s="15">
        <v>0.0</v>
      </c>
      <c r="L244" s="17"/>
      <c r="M244" s="20" t="s">
        <v>1124</v>
      </c>
    </row>
    <row r="245" ht="15.75" customHeight="1">
      <c r="A245" s="14" t="s">
        <v>97</v>
      </c>
      <c r="B245" s="15">
        <v>127.0</v>
      </c>
      <c r="C245" s="17" t="s">
        <v>1495</v>
      </c>
      <c r="D245" s="16" t="s">
        <v>68</v>
      </c>
      <c r="E245" s="15">
        <v>10564.0</v>
      </c>
      <c r="F245" s="19">
        <v>0.9999053478466635</v>
      </c>
      <c r="G245" s="15">
        <v>0.0</v>
      </c>
      <c r="H245" s="15">
        <v>0.0</v>
      </c>
      <c r="I245" s="15">
        <v>1.0</v>
      </c>
      <c r="J245" s="15">
        <v>0.0</v>
      </c>
      <c r="K245" s="15">
        <v>0.0</v>
      </c>
      <c r="L245" s="17"/>
      <c r="M245" s="20" t="s">
        <v>1203</v>
      </c>
    </row>
    <row r="246" ht="15.75" customHeight="1">
      <c r="A246" s="14" t="s">
        <v>97</v>
      </c>
      <c r="B246" s="15">
        <v>128.0</v>
      </c>
      <c r="C246" s="17" t="s">
        <v>1496</v>
      </c>
      <c r="D246" s="16" t="s">
        <v>68</v>
      </c>
      <c r="E246" s="15">
        <v>10552.0</v>
      </c>
      <c r="F246" s="19">
        <v>0.9987695220066256</v>
      </c>
      <c r="G246" s="15">
        <v>0.0</v>
      </c>
      <c r="H246" s="15">
        <v>0.0</v>
      </c>
      <c r="I246" s="15">
        <v>13.0</v>
      </c>
      <c r="J246" s="15">
        <v>0.0</v>
      </c>
      <c r="K246" s="15">
        <v>0.0</v>
      </c>
      <c r="L246" s="17"/>
      <c r="M246" s="20" t="s">
        <v>1497</v>
      </c>
    </row>
    <row r="247" ht="15.75" customHeight="1">
      <c r="A247" s="14" t="s">
        <v>97</v>
      </c>
      <c r="B247" s="15">
        <v>129.0</v>
      </c>
      <c r="C247" s="17" t="s">
        <v>1499</v>
      </c>
      <c r="D247" s="16" t="s">
        <v>68</v>
      </c>
      <c r="E247" s="15">
        <v>10552.0</v>
      </c>
      <c r="F247" s="19">
        <v>0.9987695220066256</v>
      </c>
      <c r="G247" s="15">
        <v>1.0</v>
      </c>
      <c r="H247" s="15">
        <v>0.0</v>
      </c>
      <c r="I247" s="15">
        <v>3.0</v>
      </c>
      <c r="J247" s="15">
        <v>0.0</v>
      </c>
      <c r="K247" s="15">
        <v>0.0</v>
      </c>
      <c r="L247" s="17"/>
      <c r="M247" s="20" t="s">
        <v>1055</v>
      </c>
    </row>
    <row r="248" ht="15.75" customHeight="1">
      <c r="A248" s="14" t="s">
        <v>97</v>
      </c>
      <c r="B248" s="15">
        <v>130.0</v>
      </c>
      <c r="C248" s="17" t="s">
        <v>1500</v>
      </c>
      <c r="D248" s="16" t="s">
        <v>68</v>
      </c>
      <c r="E248" s="15">
        <v>10552.0</v>
      </c>
      <c r="F248" s="19">
        <v>0.9987695220066256</v>
      </c>
      <c r="G248" s="15">
        <v>0.0</v>
      </c>
      <c r="H248" s="15">
        <v>0.0</v>
      </c>
      <c r="I248" s="15">
        <v>2.0</v>
      </c>
      <c r="J248" s="15">
        <v>0.0</v>
      </c>
      <c r="K248" s="15">
        <v>0.0</v>
      </c>
      <c r="L248" s="17"/>
      <c r="M248" s="20" t="s">
        <v>1501</v>
      </c>
    </row>
    <row r="249" ht="15.75" customHeight="1">
      <c r="A249" s="14" t="s">
        <v>97</v>
      </c>
      <c r="B249" s="15">
        <v>131.0</v>
      </c>
      <c r="C249" s="17" t="s">
        <v>1502</v>
      </c>
      <c r="D249" s="16" t="s">
        <v>68</v>
      </c>
      <c r="E249" s="15">
        <v>10564.0</v>
      </c>
      <c r="F249" s="19">
        <v>0.9999053478466635</v>
      </c>
      <c r="G249" s="15">
        <v>0.0</v>
      </c>
      <c r="H249" s="15">
        <v>0.0</v>
      </c>
      <c r="I249" s="15">
        <v>1.0</v>
      </c>
      <c r="J249" s="15">
        <v>0.0</v>
      </c>
      <c r="K249" s="15">
        <v>0.0</v>
      </c>
      <c r="L249" s="17"/>
      <c r="M249" s="20" t="s">
        <v>1203</v>
      </c>
    </row>
    <row r="250" ht="15.75" customHeight="1">
      <c r="A250" s="14" t="s">
        <v>97</v>
      </c>
      <c r="B250" s="15">
        <v>132.0</v>
      </c>
      <c r="C250" s="17" t="s">
        <v>1503</v>
      </c>
      <c r="D250" s="16" t="s">
        <v>68</v>
      </c>
      <c r="E250" s="15">
        <v>10561.0</v>
      </c>
      <c r="F250" s="19">
        <v>0.9996213913866541</v>
      </c>
      <c r="G250" s="15">
        <v>0.0</v>
      </c>
      <c r="H250" s="15">
        <v>0.0</v>
      </c>
      <c r="I250" s="15">
        <v>4.0</v>
      </c>
      <c r="J250" s="15">
        <v>0.0</v>
      </c>
      <c r="K250" s="15">
        <v>0.0</v>
      </c>
      <c r="L250" s="17"/>
      <c r="M250" s="20" t="s">
        <v>1504</v>
      </c>
    </row>
    <row r="251" ht="15.75" customHeight="1">
      <c r="A251" s="14" t="s">
        <v>97</v>
      </c>
      <c r="B251" s="15">
        <v>133.0</v>
      </c>
      <c r="C251" s="17" t="s">
        <v>1506</v>
      </c>
      <c r="D251" s="16" t="s">
        <v>68</v>
      </c>
      <c r="E251" s="15">
        <v>10561.0</v>
      </c>
      <c r="F251" s="19">
        <v>0.9996213913866541</v>
      </c>
      <c r="G251" s="15">
        <v>1.0</v>
      </c>
      <c r="H251" s="15">
        <v>0.0</v>
      </c>
      <c r="I251" s="15">
        <v>3.0</v>
      </c>
      <c r="J251" s="15">
        <v>0.0</v>
      </c>
      <c r="K251" s="15">
        <v>0.0</v>
      </c>
      <c r="L251" s="17"/>
      <c r="M251" s="20" t="s">
        <v>1055</v>
      </c>
    </row>
    <row r="252" ht="15.75" customHeight="1">
      <c r="A252" s="14" t="s">
        <v>97</v>
      </c>
      <c r="B252" s="15">
        <v>134.0</v>
      </c>
      <c r="C252" s="17" t="s">
        <v>1507</v>
      </c>
      <c r="D252" s="16" t="s">
        <v>68</v>
      </c>
      <c r="E252" s="15">
        <v>10561.0</v>
      </c>
      <c r="F252" s="19">
        <v>0.9996213913866541</v>
      </c>
      <c r="G252" s="15">
        <v>0.0</v>
      </c>
      <c r="H252" s="15">
        <v>0.0</v>
      </c>
      <c r="I252" s="15">
        <v>1.0</v>
      </c>
      <c r="J252" s="15">
        <v>0.0</v>
      </c>
      <c r="K252" s="15">
        <v>0.0</v>
      </c>
      <c r="L252" s="17"/>
      <c r="M252" s="20" t="s">
        <v>1214</v>
      </c>
    </row>
    <row r="253" ht="15.75" customHeight="1">
      <c r="A253" s="14" t="s">
        <v>97</v>
      </c>
      <c r="B253" s="15">
        <v>135.0</v>
      </c>
      <c r="C253" s="17" t="s">
        <v>1508</v>
      </c>
      <c r="D253" s="16" t="s">
        <v>68</v>
      </c>
      <c r="E253" s="15">
        <v>10564.0</v>
      </c>
      <c r="F253" s="19">
        <v>0.9999053478466635</v>
      </c>
      <c r="G253" s="15">
        <v>0.0</v>
      </c>
      <c r="H253" s="15">
        <v>0.0</v>
      </c>
      <c r="I253" s="15">
        <v>1.0</v>
      </c>
      <c r="J253" s="15">
        <v>0.0</v>
      </c>
      <c r="K253" s="15">
        <v>0.0</v>
      </c>
      <c r="L253" s="17"/>
      <c r="M253" s="20" t="s">
        <v>1509</v>
      </c>
    </row>
    <row r="254" ht="15.75" customHeight="1">
      <c r="A254" s="14" t="s">
        <v>97</v>
      </c>
      <c r="B254" s="15">
        <v>136.0</v>
      </c>
      <c r="C254" s="17" t="s">
        <v>1513</v>
      </c>
      <c r="D254" s="16" t="s">
        <v>341</v>
      </c>
      <c r="E254" s="15">
        <v>10564.0</v>
      </c>
      <c r="F254" s="19">
        <v>0.9999053478466635</v>
      </c>
      <c r="G254" s="15">
        <v>1.0</v>
      </c>
      <c r="H254" s="15">
        <v>0.0</v>
      </c>
      <c r="I254" s="15">
        <v>1.0</v>
      </c>
      <c r="J254" s="15">
        <v>0.0</v>
      </c>
      <c r="K254" s="15">
        <v>0.0</v>
      </c>
      <c r="L254" s="17"/>
      <c r="M254" s="20" t="s">
        <v>1514</v>
      </c>
    </row>
    <row r="255" ht="15.75" customHeight="1">
      <c r="A255" s="14" t="s">
        <v>97</v>
      </c>
      <c r="B255" s="15">
        <v>137.0</v>
      </c>
      <c r="C255" s="17" t="s">
        <v>1526</v>
      </c>
      <c r="D255" s="16" t="s">
        <v>68</v>
      </c>
      <c r="E255" s="15">
        <v>10564.0</v>
      </c>
      <c r="F255" s="19">
        <v>0.9999053478466635</v>
      </c>
      <c r="G255" s="15">
        <v>0.0</v>
      </c>
      <c r="H255" s="15">
        <v>0.0</v>
      </c>
      <c r="I255" s="15">
        <v>1.0</v>
      </c>
      <c r="J255" s="15">
        <v>0.0</v>
      </c>
      <c r="K255" s="15">
        <v>0.0</v>
      </c>
      <c r="L255" s="17"/>
      <c r="M255" s="20" t="s">
        <v>1214</v>
      </c>
    </row>
    <row r="256" ht="15.75" customHeight="1">
      <c r="A256" s="14" t="s">
        <v>97</v>
      </c>
      <c r="B256" s="15">
        <v>138.0</v>
      </c>
      <c r="C256" s="17" t="s">
        <v>1538</v>
      </c>
      <c r="D256" s="16" t="s">
        <v>68</v>
      </c>
      <c r="E256" s="15">
        <v>10564.0</v>
      </c>
      <c r="F256" s="19">
        <v>0.9999053478466635</v>
      </c>
      <c r="G256" s="15">
        <v>0.0</v>
      </c>
      <c r="H256" s="15">
        <v>0.0</v>
      </c>
      <c r="I256" s="15">
        <v>1.0</v>
      </c>
      <c r="J256" s="15">
        <v>0.0</v>
      </c>
      <c r="K256" s="15">
        <v>0.0</v>
      </c>
      <c r="L256" s="17"/>
      <c r="M256" s="20" t="s">
        <v>1540</v>
      </c>
    </row>
    <row r="257" ht="15.75" customHeight="1">
      <c r="A257" s="14" t="s">
        <v>97</v>
      </c>
      <c r="B257" s="15">
        <v>139.0</v>
      </c>
      <c r="C257" s="17" t="s">
        <v>1552</v>
      </c>
      <c r="D257" s="16" t="s">
        <v>341</v>
      </c>
      <c r="E257" s="15">
        <v>10564.0</v>
      </c>
      <c r="F257" s="19">
        <v>0.9999053478466635</v>
      </c>
      <c r="G257" s="15">
        <v>1.0</v>
      </c>
      <c r="H257" s="15">
        <v>0.0</v>
      </c>
      <c r="I257" s="15">
        <v>1.0</v>
      </c>
      <c r="J257" s="15">
        <v>0.0</v>
      </c>
      <c r="K257" s="15">
        <v>0.0</v>
      </c>
      <c r="L257" s="17"/>
      <c r="M257" s="20" t="s">
        <v>1514</v>
      </c>
    </row>
    <row r="258" ht="15.75" customHeight="1">
      <c r="A258" s="14" t="s">
        <v>97</v>
      </c>
      <c r="B258" s="15">
        <v>140.0</v>
      </c>
      <c r="C258" s="17" t="s">
        <v>1561</v>
      </c>
      <c r="D258" s="16" t="s">
        <v>68</v>
      </c>
      <c r="E258" s="15">
        <v>10564.0</v>
      </c>
      <c r="F258" s="19">
        <v>0.9999053478466635</v>
      </c>
      <c r="G258" s="15">
        <v>0.0</v>
      </c>
      <c r="H258" s="15">
        <v>0.0</v>
      </c>
      <c r="I258" s="15">
        <v>1.0</v>
      </c>
      <c r="J258" s="15">
        <v>0.0</v>
      </c>
      <c r="K258" s="15">
        <v>0.0</v>
      </c>
      <c r="L258" s="17"/>
      <c r="M258" s="20" t="s">
        <v>1214</v>
      </c>
    </row>
    <row r="259" ht="15.75" customHeight="1">
      <c r="A259" s="14" t="s">
        <v>97</v>
      </c>
      <c r="B259" s="15">
        <v>141.0</v>
      </c>
      <c r="C259" s="17" t="s">
        <v>1572</v>
      </c>
      <c r="D259" s="16" t="s">
        <v>68</v>
      </c>
      <c r="E259" s="15">
        <v>10564.0</v>
      </c>
      <c r="F259" s="19">
        <v>0.9999053478466635</v>
      </c>
      <c r="G259" s="15">
        <v>0.0</v>
      </c>
      <c r="H259" s="15">
        <v>0.0</v>
      </c>
      <c r="I259" s="15">
        <v>1.0</v>
      </c>
      <c r="J259" s="15">
        <v>0.0</v>
      </c>
      <c r="K259" s="15">
        <v>0.0</v>
      </c>
      <c r="L259" s="17"/>
      <c r="M259" s="20" t="s">
        <v>1573</v>
      </c>
    </row>
    <row r="260" ht="15.75" customHeight="1">
      <c r="A260" s="14" t="s">
        <v>97</v>
      </c>
      <c r="B260" s="15">
        <v>142.0</v>
      </c>
      <c r="C260" s="17" t="s">
        <v>1582</v>
      </c>
      <c r="D260" s="16" t="s">
        <v>341</v>
      </c>
      <c r="E260" s="15">
        <v>10564.0</v>
      </c>
      <c r="F260" s="19">
        <v>0.9999053478466635</v>
      </c>
      <c r="G260" s="15">
        <v>1.0</v>
      </c>
      <c r="H260" s="15">
        <v>0.0</v>
      </c>
      <c r="I260" s="15">
        <v>1.0</v>
      </c>
      <c r="J260" s="15">
        <v>0.0</v>
      </c>
      <c r="K260" s="15">
        <v>0.0</v>
      </c>
      <c r="L260" s="17"/>
      <c r="M260" s="20" t="s">
        <v>1514</v>
      </c>
    </row>
    <row r="261" ht="15.75" customHeight="1">
      <c r="A261" s="14" t="s">
        <v>97</v>
      </c>
      <c r="B261" s="15">
        <v>143.0</v>
      </c>
      <c r="C261" s="17" t="s">
        <v>1584</v>
      </c>
      <c r="D261" s="16" t="s">
        <v>68</v>
      </c>
      <c r="E261" s="15">
        <v>10564.0</v>
      </c>
      <c r="F261" s="19">
        <v>0.9999053478466635</v>
      </c>
      <c r="G261" s="15">
        <v>0.0</v>
      </c>
      <c r="H261" s="15">
        <v>0.0</v>
      </c>
      <c r="I261" s="15">
        <v>1.0</v>
      </c>
      <c r="J261" s="15">
        <v>0.0</v>
      </c>
      <c r="K261" s="15">
        <v>0.0</v>
      </c>
      <c r="L261" s="17"/>
      <c r="M261" s="20" t="s">
        <v>1214</v>
      </c>
    </row>
    <row r="262" ht="15.75" customHeight="1">
      <c r="A262" s="14" t="s">
        <v>97</v>
      </c>
      <c r="B262" s="15">
        <v>144.0</v>
      </c>
      <c r="C262" s="17" t="s">
        <v>585</v>
      </c>
      <c r="D262" s="16" t="s">
        <v>458</v>
      </c>
      <c r="E262" s="15">
        <v>5659.0</v>
      </c>
      <c r="F262" s="19">
        <v>0.5356365357311879</v>
      </c>
      <c r="G262" s="15">
        <v>0.0</v>
      </c>
      <c r="H262" s="15">
        <v>0.0</v>
      </c>
      <c r="I262" s="15">
        <v>4520.0</v>
      </c>
      <c r="J262" s="15">
        <v>0.0</v>
      </c>
      <c r="K262" s="15">
        <v>3.0</v>
      </c>
      <c r="L262" s="17"/>
      <c r="M262" s="20" t="s">
        <v>1587</v>
      </c>
    </row>
    <row r="263" ht="15.75" customHeight="1">
      <c r="A263" s="14" t="s">
        <v>97</v>
      </c>
      <c r="B263" s="15">
        <v>145.0</v>
      </c>
      <c r="C263" s="17" t="s">
        <v>587</v>
      </c>
      <c r="D263" s="16" t="s">
        <v>458</v>
      </c>
      <c r="E263" s="15">
        <v>9718.0</v>
      </c>
      <c r="F263" s="19">
        <v>0.9198296261239943</v>
      </c>
      <c r="G263" s="15">
        <v>0.0</v>
      </c>
      <c r="H263" s="15">
        <v>0.0</v>
      </c>
      <c r="I263" s="15">
        <v>809.0</v>
      </c>
      <c r="J263" s="15">
        <v>0.0</v>
      </c>
      <c r="K263" s="15">
        <v>7.0</v>
      </c>
      <c r="L263" s="17"/>
      <c r="M263" s="20" t="s">
        <v>1590</v>
      </c>
    </row>
    <row r="264" ht="15.75" customHeight="1">
      <c r="A264" s="14" t="s">
        <v>97</v>
      </c>
      <c r="B264" s="15">
        <v>146.0</v>
      </c>
      <c r="C264" s="17" t="s">
        <v>589</v>
      </c>
      <c r="D264" s="16" t="s">
        <v>458</v>
      </c>
      <c r="E264" s="15">
        <v>10043.0</v>
      </c>
      <c r="F264" s="19">
        <v>0.9505915759583531</v>
      </c>
      <c r="G264" s="15">
        <v>0.0</v>
      </c>
      <c r="H264" s="15">
        <v>0.0</v>
      </c>
      <c r="I264" s="15">
        <v>492.0</v>
      </c>
      <c r="J264" s="15">
        <v>0.0</v>
      </c>
      <c r="K264" s="15">
        <v>6.0</v>
      </c>
      <c r="L264" s="17"/>
      <c r="M264" s="20" t="s">
        <v>1594</v>
      </c>
    </row>
    <row r="265" ht="15.75" customHeight="1">
      <c r="A265" s="14" t="s">
        <v>97</v>
      </c>
      <c r="B265" s="15">
        <v>147.0</v>
      </c>
      <c r="C265" s="17" t="s">
        <v>596</v>
      </c>
      <c r="D265" s="16" t="s">
        <v>458</v>
      </c>
      <c r="E265" s="15">
        <v>10516.0</v>
      </c>
      <c r="F265" s="19">
        <v>0.9953620444865121</v>
      </c>
      <c r="G265" s="15">
        <v>0.0</v>
      </c>
      <c r="H265" s="15">
        <v>0.0</v>
      </c>
      <c r="I265" s="15">
        <v>48.0</v>
      </c>
      <c r="J265" s="15">
        <v>0.0</v>
      </c>
      <c r="K265" s="15">
        <v>1.0</v>
      </c>
      <c r="L265" s="17"/>
      <c r="M265" s="20" t="s">
        <v>1597</v>
      </c>
    </row>
    <row r="266" ht="15.75" customHeight="1">
      <c r="A266" s="14" t="s">
        <v>97</v>
      </c>
      <c r="B266" s="15">
        <v>148.0</v>
      </c>
      <c r="C266" s="17" t="s">
        <v>1600</v>
      </c>
      <c r="D266" s="16" t="s">
        <v>458</v>
      </c>
      <c r="E266" s="15">
        <v>10544.0</v>
      </c>
      <c r="F266" s="19">
        <v>0.9980123047799337</v>
      </c>
      <c r="G266" s="15">
        <v>0.0</v>
      </c>
      <c r="H266" s="15">
        <v>0.0</v>
      </c>
      <c r="I266" s="15">
        <v>21.0</v>
      </c>
      <c r="J266" s="15">
        <v>0.0</v>
      </c>
      <c r="K266" s="15">
        <v>0.0</v>
      </c>
      <c r="L266" s="17"/>
      <c r="M266" s="20" t="s">
        <v>1601</v>
      </c>
    </row>
    <row r="267" ht="15.75" customHeight="1">
      <c r="A267" s="14" t="s">
        <v>97</v>
      </c>
      <c r="B267" s="15">
        <v>149.0</v>
      </c>
      <c r="C267" s="17" t="s">
        <v>1604</v>
      </c>
      <c r="D267" s="16" t="s">
        <v>458</v>
      </c>
      <c r="E267" s="15">
        <v>10555.0</v>
      </c>
      <c r="F267" s="19">
        <v>0.9990534784666352</v>
      </c>
      <c r="G267" s="15">
        <v>0.0</v>
      </c>
      <c r="H267" s="15">
        <v>0.0</v>
      </c>
      <c r="I267" s="15">
        <v>10.0</v>
      </c>
      <c r="J267" s="15">
        <v>0.0</v>
      </c>
      <c r="K267" s="15">
        <v>0.0</v>
      </c>
      <c r="L267" s="17"/>
      <c r="M267" s="20" t="s">
        <v>1605</v>
      </c>
    </row>
    <row r="268" ht="15.75" customHeight="1">
      <c r="A268" s="14" t="s">
        <v>97</v>
      </c>
      <c r="B268" s="15">
        <v>150.0</v>
      </c>
      <c r="C268" s="17" t="s">
        <v>389</v>
      </c>
      <c r="D268" s="16" t="s">
        <v>68</v>
      </c>
      <c r="E268" s="15">
        <v>5378.0</v>
      </c>
      <c r="F268" s="19">
        <v>0.5090392806436347</v>
      </c>
      <c r="G268" s="15">
        <v>0.0</v>
      </c>
      <c r="H268" s="15">
        <v>0.0</v>
      </c>
      <c r="I268" s="15">
        <v>4789.0</v>
      </c>
      <c r="J268" s="15">
        <v>52.0</v>
      </c>
      <c r="K268" s="15">
        <v>811.0</v>
      </c>
      <c r="L268" s="17"/>
      <c r="M268" s="20" t="s">
        <v>1609</v>
      </c>
    </row>
    <row r="269" ht="15.75" customHeight="1">
      <c r="A269" s="14" t="s">
        <v>97</v>
      </c>
      <c r="B269" s="15">
        <v>151.0</v>
      </c>
      <c r="C269" s="17" t="s">
        <v>1198</v>
      </c>
      <c r="D269" s="16" t="s">
        <v>68</v>
      </c>
      <c r="E269" s="15">
        <v>5378.0</v>
      </c>
      <c r="F269" s="19">
        <v>0.5090392806436347</v>
      </c>
      <c r="G269" s="15">
        <v>4430.0</v>
      </c>
      <c r="H269" s="15">
        <v>0.0</v>
      </c>
      <c r="I269" s="15">
        <v>9.0</v>
      </c>
      <c r="J269" s="15">
        <v>46.0</v>
      </c>
      <c r="K269" s="15">
        <v>0.0</v>
      </c>
      <c r="L269" s="17"/>
      <c r="M269" s="20" t="s">
        <v>1613</v>
      </c>
    </row>
    <row r="270" ht="15.75" customHeight="1">
      <c r="A270" s="14" t="s">
        <v>97</v>
      </c>
      <c r="B270" s="15">
        <v>152.0</v>
      </c>
      <c r="C270" s="17" t="s">
        <v>1139</v>
      </c>
      <c r="D270" s="16" t="s">
        <v>68</v>
      </c>
      <c r="E270" s="15">
        <v>10316.0</v>
      </c>
      <c r="F270" s="19">
        <v>0.9764316138192144</v>
      </c>
      <c r="G270" s="15">
        <v>0.0</v>
      </c>
      <c r="H270" s="15">
        <v>0.0</v>
      </c>
      <c r="I270" s="15">
        <v>232.0</v>
      </c>
      <c r="J270" s="15">
        <v>13.0</v>
      </c>
      <c r="K270" s="15">
        <v>18.0</v>
      </c>
      <c r="L270" s="17"/>
      <c r="M270" s="20" t="s">
        <v>1615</v>
      </c>
    </row>
    <row r="271" ht="15.75" customHeight="1">
      <c r="A271" s="14" t="s">
        <v>97</v>
      </c>
      <c r="B271" s="15">
        <v>153.0</v>
      </c>
      <c r="C271" s="17" t="s">
        <v>1617</v>
      </c>
      <c r="D271" s="16" t="s">
        <v>138</v>
      </c>
      <c r="E271" s="15">
        <v>5378.0</v>
      </c>
      <c r="F271" s="19">
        <v>0.5090392806436347</v>
      </c>
      <c r="G271" s="15">
        <v>0.0</v>
      </c>
      <c r="H271" s="15">
        <v>0.0</v>
      </c>
      <c r="I271" s="15">
        <v>4.0</v>
      </c>
      <c r="J271" s="15">
        <v>0.0</v>
      </c>
      <c r="K271" s="15">
        <v>0.0</v>
      </c>
      <c r="L271" s="17"/>
      <c r="M271" s="20" t="s">
        <v>1618</v>
      </c>
    </row>
    <row r="272" ht="15.75" customHeight="1">
      <c r="A272" s="14" t="s">
        <v>97</v>
      </c>
      <c r="B272" s="15">
        <v>154.0</v>
      </c>
      <c r="C272" s="17" t="s">
        <v>1621</v>
      </c>
      <c r="D272" s="16" t="s">
        <v>357</v>
      </c>
      <c r="E272" s="15">
        <v>5378.0</v>
      </c>
      <c r="F272" s="19">
        <v>0.5090392806436347</v>
      </c>
      <c r="G272" s="15">
        <v>0.0</v>
      </c>
      <c r="H272" s="15">
        <v>0.0</v>
      </c>
      <c r="I272" s="15">
        <v>2.0</v>
      </c>
      <c r="J272" s="15">
        <v>0.0</v>
      </c>
      <c r="K272" s="15">
        <v>0.0</v>
      </c>
      <c r="L272" s="17"/>
      <c r="M272" s="20" t="s">
        <v>930</v>
      </c>
    </row>
    <row r="273" ht="15.75" customHeight="1">
      <c r="A273" s="14" t="s">
        <v>97</v>
      </c>
      <c r="B273" s="15">
        <v>155.0</v>
      </c>
      <c r="C273" s="17" t="s">
        <v>1623</v>
      </c>
      <c r="D273" s="16" t="s">
        <v>357</v>
      </c>
      <c r="E273" s="15">
        <v>5378.0</v>
      </c>
      <c r="F273" s="19">
        <v>0.5090392806436347</v>
      </c>
      <c r="G273" s="15">
        <v>0.0</v>
      </c>
      <c r="H273" s="15">
        <v>0.0</v>
      </c>
      <c r="I273" s="15">
        <v>1.0</v>
      </c>
      <c r="J273" s="15">
        <v>0.0</v>
      </c>
      <c r="K273" s="15">
        <v>0.0</v>
      </c>
      <c r="L273" s="17"/>
      <c r="M273" s="20" t="s">
        <v>75</v>
      </c>
    </row>
    <row r="274" ht="15.75" customHeight="1">
      <c r="A274" s="14" t="s">
        <v>97</v>
      </c>
      <c r="B274" s="15">
        <v>156.0</v>
      </c>
      <c r="C274" s="17" t="s">
        <v>1200</v>
      </c>
      <c r="D274" s="16" t="s">
        <v>68</v>
      </c>
      <c r="E274" s="15">
        <v>6024.0</v>
      </c>
      <c r="F274" s="19">
        <v>0.5701845716990062</v>
      </c>
      <c r="G274" s="15">
        <v>0.0</v>
      </c>
      <c r="H274" s="15">
        <v>0.0</v>
      </c>
      <c r="I274" s="15">
        <v>17.0</v>
      </c>
      <c r="J274" s="15">
        <v>81.0</v>
      </c>
      <c r="K274" s="15">
        <v>0.0</v>
      </c>
      <c r="L274" s="17"/>
      <c r="M274" s="20" t="s">
        <v>1628</v>
      </c>
    </row>
    <row r="275" ht="15.75" customHeight="1">
      <c r="A275" s="14" t="s">
        <v>97</v>
      </c>
      <c r="B275" s="15">
        <v>157.0</v>
      </c>
      <c r="C275" s="17" t="s">
        <v>1634</v>
      </c>
      <c r="D275" s="16" t="s">
        <v>138</v>
      </c>
      <c r="E275" s="15">
        <v>10559.0</v>
      </c>
      <c r="F275" s="19">
        <v>0.9994320870799811</v>
      </c>
      <c r="G275" s="15">
        <v>0.0</v>
      </c>
      <c r="H275" s="15">
        <v>0.0</v>
      </c>
      <c r="I275" s="15">
        <v>6.0</v>
      </c>
      <c r="J275" s="15">
        <v>0.0</v>
      </c>
      <c r="K275" s="15">
        <v>0.0</v>
      </c>
      <c r="L275" s="17"/>
      <c r="M275" s="20" t="s">
        <v>1637</v>
      </c>
    </row>
    <row r="276" ht="15.75" customHeight="1">
      <c r="A276" s="14" t="s">
        <v>97</v>
      </c>
      <c r="B276" s="15">
        <v>158.0</v>
      </c>
      <c r="C276" s="17" t="s">
        <v>625</v>
      </c>
      <c r="D276" s="16" t="s">
        <v>458</v>
      </c>
      <c r="E276" s="15">
        <v>10484.0</v>
      </c>
      <c r="F276" s="19">
        <v>0.9923331755797444</v>
      </c>
      <c r="G276" s="15">
        <v>0.0</v>
      </c>
      <c r="H276" s="15">
        <v>0.0</v>
      </c>
      <c r="I276" s="15">
        <v>81.0</v>
      </c>
      <c r="J276" s="15">
        <v>0.0</v>
      </c>
      <c r="K276" s="15">
        <v>0.0</v>
      </c>
      <c r="L276" s="17"/>
      <c r="M276" s="20" t="s">
        <v>1644</v>
      </c>
    </row>
    <row r="277" ht="15.75" customHeight="1">
      <c r="A277" s="14" t="s">
        <v>97</v>
      </c>
      <c r="B277" s="15">
        <v>159.0</v>
      </c>
      <c r="C277" s="17" t="s">
        <v>885</v>
      </c>
      <c r="D277" s="16" t="s">
        <v>68</v>
      </c>
      <c r="E277" s="15">
        <v>5920.0</v>
      </c>
      <c r="F277" s="19">
        <v>0.5603407477520114</v>
      </c>
      <c r="G277" s="15">
        <v>0.0</v>
      </c>
      <c r="H277" s="15">
        <v>0.0</v>
      </c>
      <c r="I277" s="15">
        <v>4346.0</v>
      </c>
      <c r="J277" s="15">
        <v>0.0</v>
      </c>
      <c r="K277" s="15">
        <v>4.0</v>
      </c>
      <c r="L277" s="17"/>
      <c r="M277" s="20" t="s">
        <v>1651</v>
      </c>
    </row>
    <row r="278" ht="15.75" customHeight="1">
      <c r="A278" s="14" t="s">
        <v>97</v>
      </c>
      <c r="B278" s="15">
        <v>160.0</v>
      </c>
      <c r="C278" s="17" t="s">
        <v>1146</v>
      </c>
      <c r="D278" s="16" t="s">
        <v>68</v>
      </c>
      <c r="E278" s="15">
        <v>5920.0</v>
      </c>
      <c r="F278" s="19">
        <v>0.5603407477520114</v>
      </c>
      <c r="G278" s="15">
        <v>4043.0</v>
      </c>
      <c r="H278" s="15">
        <v>0.0</v>
      </c>
      <c r="I278" s="15">
        <v>12.0</v>
      </c>
      <c r="J278" s="15">
        <v>28.0</v>
      </c>
      <c r="K278" s="15">
        <v>0.0</v>
      </c>
      <c r="L278" s="17"/>
      <c r="M278" s="20" t="s">
        <v>1656</v>
      </c>
    </row>
    <row r="279" ht="15.75" customHeight="1">
      <c r="A279" s="14" t="s">
        <v>97</v>
      </c>
      <c r="B279" s="15">
        <v>161.0</v>
      </c>
      <c r="C279" s="17" t="s">
        <v>1143</v>
      </c>
      <c r="D279" s="16" t="s">
        <v>68</v>
      </c>
      <c r="E279" s="15">
        <v>5920.0</v>
      </c>
      <c r="F279" s="19">
        <v>0.5603407477520114</v>
      </c>
      <c r="G279" s="15">
        <v>0.0</v>
      </c>
      <c r="H279" s="15">
        <v>0.0</v>
      </c>
      <c r="I279" s="15">
        <v>9.0</v>
      </c>
      <c r="J279" s="15">
        <v>10.0</v>
      </c>
      <c r="K279" s="15">
        <v>0.0</v>
      </c>
      <c r="L279" s="17"/>
      <c r="M279" s="20" t="s">
        <v>1662</v>
      </c>
    </row>
    <row r="280" ht="15.75" customHeight="1">
      <c r="A280" s="14" t="s">
        <v>97</v>
      </c>
      <c r="B280" s="15">
        <v>162.0</v>
      </c>
      <c r="C280" s="17" t="s">
        <v>1145</v>
      </c>
      <c r="D280" s="16" t="s">
        <v>68</v>
      </c>
      <c r="E280" s="15">
        <v>6685.0</v>
      </c>
      <c r="F280" s="19">
        <v>0.632749645054425</v>
      </c>
      <c r="G280" s="15">
        <v>0.0</v>
      </c>
      <c r="H280" s="15">
        <v>0.0</v>
      </c>
      <c r="I280" s="15">
        <v>7.0</v>
      </c>
      <c r="J280" s="15">
        <v>39.0</v>
      </c>
      <c r="K280" s="15">
        <v>0.0</v>
      </c>
      <c r="L280" s="17"/>
      <c r="M280" s="20" t="s">
        <v>1439</v>
      </c>
    </row>
    <row r="281" ht="15.75" customHeight="1">
      <c r="A281" s="14" t="s">
        <v>97</v>
      </c>
      <c r="B281" s="15">
        <v>163.0</v>
      </c>
      <c r="C281" s="17" t="s">
        <v>889</v>
      </c>
      <c r="D281" s="16" t="s">
        <v>68</v>
      </c>
      <c r="E281" s="15">
        <v>9772.0</v>
      </c>
      <c r="F281" s="19">
        <v>0.9249408424041647</v>
      </c>
      <c r="G281" s="15">
        <v>0.0</v>
      </c>
      <c r="H281" s="15">
        <v>0.0</v>
      </c>
      <c r="I281" s="15">
        <v>769.0</v>
      </c>
      <c r="J281" s="15">
        <v>0.0</v>
      </c>
      <c r="K281" s="15">
        <v>1.0</v>
      </c>
      <c r="L281" s="17"/>
      <c r="M281" s="20" t="s">
        <v>1667</v>
      </c>
    </row>
    <row r="282" ht="15.75" customHeight="1">
      <c r="A282" s="14" t="s">
        <v>97</v>
      </c>
      <c r="B282" s="15">
        <v>164.0</v>
      </c>
      <c r="C282" s="17" t="s">
        <v>1152</v>
      </c>
      <c r="D282" s="16" t="s">
        <v>68</v>
      </c>
      <c r="E282" s="15">
        <v>9772.0</v>
      </c>
      <c r="F282" s="19">
        <v>0.9249408424041647</v>
      </c>
      <c r="G282" s="15">
        <v>327.0</v>
      </c>
      <c r="H282" s="15">
        <v>0.0</v>
      </c>
      <c r="I282" s="15">
        <v>10.0</v>
      </c>
      <c r="J282" s="15">
        <v>23.0</v>
      </c>
      <c r="K282" s="15">
        <v>0.0</v>
      </c>
      <c r="L282" s="17"/>
      <c r="M282" s="20" t="s">
        <v>1090</v>
      </c>
    </row>
    <row r="283" ht="15.75" customHeight="1">
      <c r="A283" s="14" t="s">
        <v>97</v>
      </c>
      <c r="B283" s="15">
        <v>165.0</v>
      </c>
      <c r="C283" s="17" t="s">
        <v>1149</v>
      </c>
      <c r="D283" s="16" t="s">
        <v>68</v>
      </c>
      <c r="E283" s="15">
        <v>9772.0</v>
      </c>
      <c r="F283" s="19">
        <v>0.9249408424041647</v>
      </c>
      <c r="G283" s="15">
        <v>0.0</v>
      </c>
      <c r="H283" s="15">
        <v>0.0</v>
      </c>
      <c r="I283" s="15">
        <v>7.0</v>
      </c>
      <c r="J283" s="15">
        <v>4.0</v>
      </c>
      <c r="K283" s="15">
        <v>0.0</v>
      </c>
      <c r="L283" s="17"/>
      <c r="M283" s="20" t="s">
        <v>1390</v>
      </c>
    </row>
    <row r="284" ht="15.75" customHeight="1">
      <c r="A284" s="14" t="s">
        <v>97</v>
      </c>
      <c r="B284" s="15">
        <v>166.0</v>
      </c>
      <c r="C284" s="17" t="s">
        <v>1151</v>
      </c>
      <c r="D284" s="16" t="s">
        <v>68</v>
      </c>
      <c r="E284" s="15">
        <v>10124.0</v>
      </c>
      <c r="F284" s="19">
        <v>0.9582584003786087</v>
      </c>
      <c r="G284" s="15">
        <v>0.0</v>
      </c>
      <c r="H284" s="15">
        <v>0.0</v>
      </c>
      <c r="I284" s="15">
        <v>8.0</v>
      </c>
      <c r="J284" s="15">
        <v>38.0</v>
      </c>
      <c r="K284" s="15">
        <v>0.0</v>
      </c>
      <c r="L284" s="17"/>
      <c r="M284" s="20" t="s">
        <v>1439</v>
      </c>
    </row>
    <row r="285" ht="15.75" customHeight="1">
      <c r="A285" s="14" t="s">
        <v>97</v>
      </c>
      <c r="B285" s="15">
        <v>167.0</v>
      </c>
      <c r="C285" s="17" t="s">
        <v>1669</v>
      </c>
      <c r="D285" s="16" t="s">
        <v>68</v>
      </c>
      <c r="E285" s="15">
        <v>10118.0</v>
      </c>
      <c r="F285" s="19">
        <v>0.9576904874585896</v>
      </c>
      <c r="G285" s="15">
        <v>0.0</v>
      </c>
      <c r="H285" s="15">
        <v>0.0</v>
      </c>
      <c r="I285" s="15">
        <v>429.0</v>
      </c>
      <c r="J285" s="15">
        <v>0.0</v>
      </c>
      <c r="K285" s="15">
        <v>0.0</v>
      </c>
      <c r="L285" s="17"/>
      <c r="M285" s="20" t="s">
        <v>1670</v>
      </c>
    </row>
    <row r="286" ht="15.75" customHeight="1">
      <c r="A286" s="14" t="s">
        <v>97</v>
      </c>
      <c r="B286" s="15">
        <v>168.0</v>
      </c>
      <c r="C286" s="17" t="s">
        <v>1162</v>
      </c>
      <c r="D286" s="16" t="s">
        <v>68</v>
      </c>
      <c r="E286" s="15">
        <v>10118.0</v>
      </c>
      <c r="F286" s="19">
        <v>0.9576904874585896</v>
      </c>
      <c r="G286" s="15">
        <v>117.0</v>
      </c>
      <c r="H286" s="15">
        <v>0.0</v>
      </c>
      <c r="I286" s="15">
        <v>9.0</v>
      </c>
      <c r="J286" s="15">
        <v>17.0</v>
      </c>
      <c r="K286" s="15">
        <v>0.0</v>
      </c>
      <c r="L286" s="17"/>
      <c r="M286" s="20" t="s">
        <v>1055</v>
      </c>
    </row>
    <row r="287" ht="15.75" customHeight="1">
      <c r="A287" s="14" t="s">
        <v>97</v>
      </c>
      <c r="B287" s="15">
        <v>169.0</v>
      </c>
      <c r="C287" s="17" t="s">
        <v>1156</v>
      </c>
      <c r="D287" s="16" t="s">
        <v>68</v>
      </c>
      <c r="E287" s="15">
        <v>10118.0</v>
      </c>
      <c r="F287" s="19">
        <v>0.9576904874585896</v>
      </c>
      <c r="G287" s="15">
        <v>0.0</v>
      </c>
      <c r="H287" s="15">
        <v>0.0</v>
      </c>
      <c r="I287" s="15">
        <v>6.0</v>
      </c>
      <c r="J287" s="15">
        <v>4.0</v>
      </c>
      <c r="K287" s="15">
        <v>0.0</v>
      </c>
      <c r="L287" s="17"/>
      <c r="M287" s="20" t="s">
        <v>1124</v>
      </c>
    </row>
    <row r="288" ht="15.75" customHeight="1">
      <c r="A288" s="14" t="s">
        <v>97</v>
      </c>
      <c r="B288" s="15">
        <v>170.0</v>
      </c>
      <c r="C288" s="17" t="s">
        <v>1158</v>
      </c>
      <c r="D288" s="16" t="s">
        <v>68</v>
      </c>
      <c r="E288" s="15">
        <v>10332.0</v>
      </c>
      <c r="F288" s="19">
        <v>0.9779460482725982</v>
      </c>
      <c r="G288" s="15">
        <v>0.0</v>
      </c>
      <c r="H288" s="15">
        <v>0.0</v>
      </c>
      <c r="I288" s="15">
        <v>6.0</v>
      </c>
      <c r="J288" s="15">
        <v>31.0</v>
      </c>
      <c r="K288" s="15">
        <v>0.0</v>
      </c>
      <c r="L288" s="17"/>
      <c r="M288" s="20" t="s">
        <v>1073</v>
      </c>
    </row>
    <row r="289" ht="15.75" customHeight="1">
      <c r="A289" s="14" t="s">
        <v>97</v>
      </c>
      <c r="B289" s="15">
        <v>171.0</v>
      </c>
      <c r="C289" s="17" t="s">
        <v>892</v>
      </c>
      <c r="D289" s="16" t="s">
        <v>68</v>
      </c>
      <c r="E289" s="15">
        <v>10367.0</v>
      </c>
      <c r="F289" s="19">
        <v>0.9812588736393753</v>
      </c>
      <c r="G289" s="15">
        <v>0.0</v>
      </c>
      <c r="H289" s="15">
        <v>0.0</v>
      </c>
      <c r="I289" s="15">
        <v>190.0</v>
      </c>
      <c r="J289" s="15">
        <v>0.0</v>
      </c>
      <c r="K289" s="15">
        <v>1.0</v>
      </c>
      <c r="L289" s="17"/>
      <c r="M289" s="20" t="s">
        <v>1672</v>
      </c>
    </row>
    <row r="290" ht="15.75" customHeight="1">
      <c r="A290" s="14" t="s">
        <v>97</v>
      </c>
      <c r="B290" s="15">
        <v>172.0</v>
      </c>
      <c r="C290" s="17" t="s">
        <v>1172</v>
      </c>
      <c r="D290" s="16" t="s">
        <v>68</v>
      </c>
      <c r="E290" s="15">
        <v>10367.0</v>
      </c>
      <c r="F290" s="19">
        <v>0.9812588736393753</v>
      </c>
      <c r="G290" s="15">
        <v>13.0</v>
      </c>
      <c r="H290" s="15">
        <v>0.0</v>
      </c>
      <c r="I290" s="15">
        <v>7.0</v>
      </c>
      <c r="J290" s="15">
        <v>12.0</v>
      </c>
      <c r="K290" s="15">
        <v>0.0</v>
      </c>
      <c r="L290" s="17"/>
      <c r="M290" s="20" t="s">
        <v>1042</v>
      </c>
    </row>
    <row r="291" ht="15.75" customHeight="1">
      <c r="A291" s="14" t="s">
        <v>97</v>
      </c>
      <c r="B291" s="15">
        <v>173.0</v>
      </c>
      <c r="C291" s="17" t="s">
        <v>1674</v>
      </c>
      <c r="D291" s="16" t="s">
        <v>68</v>
      </c>
      <c r="E291" s="15">
        <v>10367.0</v>
      </c>
      <c r="F291" s="19">
        <v>0.9812588736393753</v>
      </c>
      <c r="G291" s="15">
        <v>0.0</v>
      </c>
      <c r="H291" s="15">
        <v>0.0</v>
      </c>
      <c r="I291" s="15">
        <v>4.0</v>
      </c>
      <c r="J291" s="15">
        <v>0.0</v>
      </c>
      <c r="K291" s="15">
        <v>0.0</v>
      </c>
      <c r="L291" s="17"/>
      <c r="M291" s="20" t="s">
        <v>1124</v>
      </c>
    </row>
    <row r="292" ht="15.75" customHeight="1">
      <c r="A292" s="14" t="s">
        <v>97</v>
      </c>
      <c r="B292" s="15">
        <v>174.0</v>
      </c>
      <c r="C292" s="17" t="s">
        <v>1168</v>
      </c>
      <c r="D292" s="16" t="s">
        <v>68</v>
      </c>
      <c r="E292" s="15">
        <v>10468.0</v>
      </c>
      <c r="F292" s="19">
        <v>0.9908187411263606</v>
      </c>
      <c r="G292" s="15">
        <v>0.0</v>
      </c>
      <c r="H292" s="15">
        <v>0.0</v>
      </c>
      <c r="I292" s="15">
        <v>6.0</v>
      </c>
      <c r="J292" s="15">
        <v>28.0</v>
      </c>
      <c r="K292" s="15">
        <v>0.0</v>
      </c>
      <c r="L292" s="17"/>
      <c r="M292" s="20" t="s">
        <v>1439</v>
      </c>
    </row>
    <row r="293" ht="15.75" customHeight="1">
      <c r="A293" s="14" t="s">
        <v>97</v>
      </c>
      <c r="B293" s="15">
        <v>175.0</v>
      </c>
      <c r="C293" s="17" t="s">
        <v>896</v>
      </c>
      <c r="D293" s="16" t="s">
        <v>68</v>
      </c>
      <c r="E293" s="15">
        <v>10431.0</v>
      </c>
      <c r="F293" s="19">
        <v>0.9873166114529106</v>
      </c>
      <c r="G293" s="15">
        <v>0.0</v>
      </c>
      <c r="H293" s="15">
        <v>0.0</v>
      </c>
      <c r="I293" s="15">
        <v>131.0</v>
      </c>
      <c r="J293" s="15">
        <v>0.0</v>
      </c>
      <c r="K293" s="15">
        <v>1.0</v>
      </c>
      <c r="L293" s="17"/>
      <c r="M293" s="20" t="s">
        <v>1676</v>
      </c>
    </row>
    <row r="294" ht="15.75" customHeight="1">
      <c r="A294" s="14" t="s">
        <v>97</v>
      </c>
      <c r="B294" s="15">
        <v>176.0</v>
      </c>
      <c r="C294" s="17" t="s">
        <v>1184</v>
      </c>
      <c r="D294" s="16" t="s">
        <v>68</v>
      </c>
      <c r="E294" s="15">
        <v>10431.0</v>
      </c>
      <c r="F294" s="19">
        <v>0.9873166114529106</v>
      </c>
      <c r="G294" s="15">
        <v>9.0</v>
      </c>
      <c r="H294" s="15">
        <v>0.0</v>
      </c>
      <c r="I294" s="15">
        <v>7.0</v>
      </c>
      <c r="J294" s="15">
        <v>9.0</v>
      </c>
      <c r="K294" s="15">
        <v>0.0</v>
      </c>
      <c r="L294" s="17"/>
      <c r="M294" s="20" t="s">
        <v>1090</v>
      </c>
    </row>
    <row r="295" ht="15.75" customHeight="1">
      <c r="A295" s="14" t="s">
        <v>97</v>
      </c>
      <c r="B295" s="15">
        <v>177.0</v>
      </c>
      <c r="C295" s="17" t="s">
        <v>1683</v>
      </c>
      <c r="D295" s="16" t="s">
        <v>68</v>
      </c>
      <c r="E295" s="15">
        <v>10431.0</v>
      </c>
      <c r="F295" s="19">
        <v>0.9873166114529106</v>
      </c>
      <c r="G295" s="15">
        <v>0.0</v>
      </c>
      <c r="H295" s="15">
        <v>0.0</v>
      </c>
      <c r="I295" s="15">
        <v>4.0</v>
      </c>
      <c r="J295" s="15">
        <v>0.0</v>
      </c>
      <c r="K295" s="15">
        <v>0.0</v>
      </c>
      <c r="L295" s="17"/>
      <c r="M295" s="20" t="s">
        <v>1044</v>
      </c>
    </row>
    <row r="296" ht="15.75" customHeight="1">
      <c r="A296" s="14" t="s">
        <v>97</v>
      </c>
      <c r="B296" s="15">
        <v>178.0</v>
      </c>
      <c r="C296" s="17" t="s">
        <v>1178</v>
      </c>
      <c r="D296" s="16" t="s">
        <v>68</v>
      </c>
      <c r="E296" s="15">
        <v>10491.0</v>
      </c>
      <c r="F296" s="19">
        <v>0.9929957406530998</v>
      </c>
      <c r="G296" s="15">
        <v>0.0</v>
      </c>
      <c r="H296" s="15">
        <v>0.0</v>
      </c>
      <c r="I296" s="15">
        <v>4.0</v>
      </c>
      <c r="J296" s="15">
        <v>22.0</v>
      </c>
      <c r="K296" s="15">
        <v>0.0</v>
      </c>
      <c r="L296" s="17"/>
      <c r="M296" s="20" t="s">
        <v>1439</v>
      </c>
    </row>
    <row r="297" ht="15.75" customHeight="1">
      <c r="A297" s="14" t="s">
        <v>97</v>
      </c>
      <c r="B297" s="15">
        <v>179.0</v>
      </c>
      <c r="C297" s="17" t="s">
        <v>1687</v>
      </c>
      <c r="D297" s="16" t="s">
        <v>68</v>
      </c>
      <c r="E297" s="15">
        <v>10534.0</v>
      </c>
      <c r="F297" s="19">
        <v>0.9970657832465688</v>
      </c>
      <c r="G297" s="15">
        <v>0.0</v>
      </c>
      <c r="H297" s="15">
        <v>0.0</v>
      </c>
      <c r="I297" s="15">
        <v>31.0</v>
      </c>
      <c r="J297" s="15">
        <v>0.0</v>
      </c>
      <c r="K297" s="15">
        <v>0.0</v>
      </c>
      <c r="L297" s="17"/>
      <c r="M297" s="20" t="s">
        <v>1688</v>
      </c>
    </row>
    <row r="298" ht="15.75" customHeight="1">
      <c r="A298" s="14" t="s">
        <v>97</v>
      </c>
      <c r="B298" s="15">
        <v>180.0</v>
      </c>
      <c r="C298" s="17" t="s">
        <v>1693</v>
      </c>
      <c r="D298" s="16" t="s">
        <v>68</v>
      </c>
      <c r="E298" s="15">
        <v>10534.0</v>
      </c>
      <c r="F298" s="19">
        <v>0.9970657832465688</v>
      </c>
      <c r="G298" s="15">
        <v>2.0</v>
      </c>
      <c r="H298" s="15">
        <v>0.0</v>
      </c>
      <c r="I298" s="15">
        <v>5.0</v>
      </c>
      <c r="J298" s="15">
        <v>0.0</v>
      </c>
      <c r="K298" s="15">
        <v>0.0</v>
      </c>
      <c r="L298" s="17"/>
      <c r="M298" s="20" t="s">
        <v>1695</v>
      </c>
    </row>
    <row r="299" ht="15.75" customHeight="1">
      <c r="A299" s="14" t="s">
        <v>97</v>
      </c>
      <c r="B299" s="15">
        <v>181.0</v>
      </c>
      <c r="C299" s="17" t="s">
        <v>1192</v>
      </c>
      <c r="D299" s="16" t="s">
        <v>68</v>
      </c>
      <c r="E299" s="15">
        <v>10534.0</v>
      </c>
      <c r="F299" s="19">
        <v>0.9970657832465688</v>
      </c>
      <c r="G299" s="15">
        <v>0.0</v>
      </c>
      <c r="H299" s="15">
        <v>0.0</v>
      </c>
      <c r="I299" s="15">
        <v>3.0</v>
      </c>
      <c r="J299" s="15">
        <v>1.0</v>
      </c>
      <c r="K299" s="15">
        <v>0.0</v>
      </c>
      <c r="L299" s="17"/>
      <c r="M299" s="20" t="s">
        <v>1705</v>
      </c>
    </row>
    <row r="300" ht="15.75" customHeight="1">
      <c r="A300" s="14" t="s">
        <v>97</v>
      </c>
      <c r="B300" s="15">
        <v>182.0</v>
      </c>
      <c r="C300" s="17" t="s">
        <v>1715</v>
      </c>
      <c r="D300" s="16" t="s">
        <v>68</v>
      </c>
      <c r="E300" s="15">
        <v>10564.0</v>
      </c>
      <c r="F300" s="19">
        <v>0.9999053478466635</v>
      </c>
      <c r="G300" s="15">
        <v>0.0</v>
      </c>
      <c r="H300" s="15">
        <v>0.0</v>
      </c>
      <c r="I300" s="15">
        <v>1.0</v>
      </c>
      <c r="J300" s="15">
        <v>0.0</v>
      </c>
      <c r="K300" s="15">
        <v>0.0</v>
      </c>
      <c r="L300" s="17"/>
      <c r="M300" s="20" t="s">
        <v>1716</v>
      </c>
    </row>
    <row r="301" ht="15.75" customHeight="1">
      <c r="A301" s="14" t="s">
        <v>97</v>
      </c>
      <c r="B301" s="15">
        <v>183.0</v>
      </c>
      <c r="C301" s="17" t="s">
        <v>1720</v>
      </c>
      <c r="D301" s="16" t="s">
        <v>68</v>
      </c>
      <c r="E301" s="15">
        <v>10547.0</v>
      </c>
      <c r="F301" s="19">
        <v>0.9982962612399432</v>
      </c>
      <c r="G301" s="15">
        <v>0.0</v>
      </c>
      <c r="H301" s="15">
        <v>0.0</v>
      </c>
      <c r="I301" s="15">
        <v>18.0</v>
      </c>
      <c r="J301" s="15">
        <v>0.0</v>
      </c>
      <c r="K301" s="15">
        <v>0.0</v>
      </c>
      <c r="L301" s="17"/>
      <c r="M301" s="20" t="s">
        <v>1721</v>
      </c>
    </row>
    <row r="302" ht="15.75" customHeight="1">
      <c r="A302" s="14" t="s">
        <v>97</v>
      </c>
      <c r="B302" s="15">
        <v>184.0</v>
      </c>
      <c r="C302" s="17" t="s">
        <v>1723</v>
      </c>
      <c r="D302" s="16" t="s">
        <v>68</v>
      </c>
      <c r="E302" s="15">
        <v>10547.0</v>
      </c>
      <c r="F302" s="19">
        <v>0.9982962612399432</v>
      </c>
      <c r="G302" s="15">
        <v>2.0</v>
      </c>
      <c r="H302" s="15">
        <v>0.0</v>
      </c>
      <c r="I302" s="15">
        <v>3.0</v>
      </c>
      <c r="J302" s="15">
        <v>0.0</v>
      </c>
      <c r="K302" s="15">
        <v>0.0</v>
      </c>
      <c r="L302" s="17"/>
      <c r="M302" s="20" t="s">
        <v>1695</v>
      </c>
    </row>
    <row r="303" ht="15.75" customHeight="1">
      <c r="A303" s="14" t="s">
        <v>97</v>
      </c>
      <c r="B303" s="15">
        <v>185.0</v>
      </c>
      <c r="C303" s="17" t="s">
        <v>1197</v>
      </c>
      <c r="D303" s="16" t="s">
        <v>68</v>
      </c>
      <c r="E303" s="15">
        <v>10547.0</v>
      </c>
      <c r="F303" s="19">
        <v>0.9982962612399432</v>
      </c>
      <c r="G303" s="15">
        <v>0.0</v>
      </c>
      <c r="H303" s="15">
        <v>0.0</v>
      </c>
      <c r="I303" s="15">
        <v>3.0</v>
      </c>
      <c r="J303" s="15">
        <v>1.0</v>
      </c>
      <c r="K303" s="15">
        <v>0.0</v>
      </c>
      <c r="L303" s="17"/>
      <c r="M303" s="20" t="s">
        <v>1725</v>
      </c>
    </row>
    <row r="304" ht="15.75" customHeight="1">
      <c r="A304" s="14" t="s">
        <v>97</v>
      </c>
      <c r="B304" s="15">
        <v>186.0</v>
      </c>
      <c r="C304" s="17" t="s">
        <v>1726</v>
      </c>
      <c r="D304" s="16" t="s">
        <v>68</v>
      </c>
      <c r="E304" s="15">
        <v>10564.0</v>
      </c>
      <c r="F304" s="19">
        <v>0.9999053478466635</v>
      </c>
      <c r="G304" s="15">
        <v>0.0</v>
      </c>
      <c r="H304" s="15">
        <v>0.0</v>
      </c>
      <c r="I304" s="15">
        <v>1.0</v>
      </c>
      <c r="J304" s="15">
        <v>0.0</v>
      </c>
      <c r="K304" s="15">
        <v>0.0</v>
      </c>
      <c r="L304" s="17"/>
      <c r="M304" s="20" t="s">
        <v>1203</v>
      </c>
    </row>
    <row r="305" ht="15.75" customHeight="1">
      <c r="A305" s="14" t="s">
        <v>97</v>
      </c>
      <c r="B305" s="15">
        <v>187.0</v>
      </c>
      <c r="C305" s="17" t="s">
        <v>1724</v>
      </c>
      <c r="D305" s="16" t="s">
        <v>68</v>
      </c>
      <c r="E305" s="15">
        <v>10557.0</v>
      </c>
      <c r="F305" s="19">
        <v>0.9992427827733081</v>
      </c>
      <c r="G305" s="15">
        <v>0.0</v>
      </c>
      <c r="H305" s="15">
        <v>0.0</v>
      </c>
      <c r="I305" s="15">
        <v>8.0</v>
      </c>
      <c r="J305" s="15">
        <v>0.0</v>
      </c>
      <c r="K305" s="15">
        <v>0.0</v>
      </c>
      <c r="L305" s="17"/>
      <c r="M305" s="20" t="s">
        <v>1729</v>
      </c>
    </row>
    <row r="306" ht="15.75" customHeight="1">
      <c r="A306" s="14" t="s">
        <v>97</v>
      </c>
      <c r="B306" s="15">
        <v>188.0</v>
      </c>
      <c r="C306" s="17" t="s">
        <v>1732</v>
      </c>
      <c r="D306" s="16" t="s">
        <v>68</v>
      </c>
      <c r="E306" s="15">
        <v>10557.0</v>
      </c>
      <c r="F306" s="19">
        <v>0.9992427827733081</v>
      </c>
      <c r="G306" s="15">
        <v>1.0</v>
      </c>
      <c r="H306" s="15">
        <v>0.0</v>
      </c>
      <c r="I306" s="15">
        <v>2.0</v>
      </c>
      <c r="J306" s="15">
        <v>0.0</v>
      </c>
      <c r="K306" s="15">
        <v>0.0</v>
      </c>
      <c r="L306" s="17"/>
      <c r="M306" s="20" t="s">
        <v>1733</v>
      </c>
    </row>
    <row r="307" ht="15.75" customHeight="1">
      <c r="A307" s="14" t="s">
        <v>97</v>
      </c>
      <c r="B307" s="15">
        <v>189.0</v>
      </c>
      <c r="C307" s="17" t="s">
        <v>1734</v>
      </c>
      <c r="D307" s="16" t="s">
        <v>68</v>
      </c>
      <c r="E307" s="15">
        <v>10557.0</v>
      </c>
      <c r="F307" s="19">
        <v>0.9992427827733081</v>
      </c>
      <c r="G307" s="15">
        <v>0.0</v>
      </c>
      <c r="H307" s="15">
        <v>0.0</v>
      </c>
      <c r="I307" s="15">
        <v>1.0</v>
      </c>
      <c r="J307" s="15">
        <v>0.0</v>
      </c>
      <c r="K307" s="15">
        <v>0.0</v>
      </c>
      <c r="L307" s="17"/>
      <c r="M307" s="20" t="s">
        <v>1214</v>
      </c>
    </row>
    <row r="308" ht="15.75" customHeight="1">
      <c r="A308" s="14" t="s">
        <v>97</v>
      </c>
      <c r="B308" s="15">
        <v>190.0</v>
      </c>
      <c r="C308" s="17" t="s">
        <v>1736</v>
      </c>
      <c r="D308" s="16" t="s">
        <v>68</v>
      </c>
      <c r="E308" s="15">
        <v>10562.0</v>
      </c>
      <c r="F308" s="19">
        <v>0.9997160435399906</v>
      </c>
      <c r="G308" s="15">
        <v>0.0</v>
      </c>
      <c r="H308" s="15">
        <v>0.0</v>
      </c>
      <c r="I308" s="15">
        <v>3.0</v>
      </c>
      <c r="J308" s="15">
        <v>0.0</v>
      </c>
      <c r="K308" s="15">
        <v>0.0</v>
      </c>
      <c r="L308" s="17"/>
      <c r="M308" s="20" t="s">
        <v>1737</v>
      </c>
    </row>
    <row r="309" ht="15.75" customHeight="1">
      <c r="A309" s="14" t="s">
        <v>97</v>
      </c>
      <c r="B309" s="15">
        <v>191.0</v>
      </c>
      <c r="C309" s="17" t="s">
        <v>1740</v>
      </c>
      <c r="D309" s="16" t="s">
        <v>68</v>
      </c>
      <c r="E309" s="15">
        <v>10562.0</v>
      </c>
      <c r="F309" s="19">
        <v>0.9997160435399906</v>
      </c>
      <c r="G309" s="15">
        <v>0.0</v>
      </c>
      <c r="H309" s="15">
        <v>0.0</v>
      </c>
      <c r="I309" s="15">
        <v>2.0</v>
      </c>
      <c r="J309" s="15">
        <v>0.0</v>
      </c>
      <c r="K309" s="15">
        <v>0.0</v>
      </c>
      <c r="L309" s="17"/>
      <c r="M309" s="20" t="s">
        <v>1159</v>
      </c>
    </row>
    <row r="310" ht="15.75" customHeight="1">
      <c r="A310" s="14" t="s">
        <v>97</v>
      </c>
      <c r="B310" s="15">
        <v>192.0</v>
      </c>
      <c r="C310" s="17" t="s">
        <v>1742</v>
      </c>
      <c r="D310" s="16" t="s">
        <v>68</v>
      </c>
      <c r="E310" s="15">
        <v>10562.0</v>
      </c>
      <c r="F310" s="19">
        <v>0.9997160435399906</v>
      </c>
      <c r="G310" s="15">
        <v>0.0</v>
      </c>
      <c r="H310" s="15">
        <v>0.0</v>
      </c>
      <c r="I310" s="15">
        <v>1.0</v>
      </c>
      <c r="J310" s="15">
        <v>0.0</v>
      </c>
      <c r="K310" s="15">
        <v>0.0</v>
      </c>
      <c r="L310" s="17"/>
      <c r="M310" s="20" t="s">
        <v>1214</v>
      </c>
    </row>
    <row r="311" ht="15.75" customHeight="1">
      <c r="A311" s="14" t="s">
        <v>97</v>
      </c>
      <c r="B311" s="15">
        <v>193.0</v>
      </c>
      <c r="C311" s="17" t="s">
        <v>1743</v>
      </c>
      <c r="D311" s="16" t="s">
        <v>68</v>
      </c>
      <c r="E311" s="15">
        <v>10562.0</v>
      </c>
      <c r="F311" s="19">
        <v>0.9997160435399906</v>
      </c>
      <c r="G311" s="15">
        <v>0.0</v>
      </c>
      <c r="H311" s="15">
        <v>0.0</v>
      </c>
      <c r="I311" s="15">
        <v>3.0</v>
      </c>
      <c r="J311" s="15">
        <v>0.0</v>
      </c>
      <c r="K311" s="15">
        <v>0.0</v>
      </c>
      <c r="L311" s="17"/>
      <c r="M311" s="20" t="s">
        <v>1744</v>
      </c>
    </row>
    <row r="312" ht="15.75" customHeight="1">
      <c r="A312" s="14" t="s">
        <v>97</v>
      </c>
      <c r="B312" s="15">
        <v>194.0</v>
      </c>
      <c r="C312" s="17" t="s">
        <v>1746</v>
      </c>
      <c r="D312" s="16" t="s">
        <v>68</v>
      </c>
      <c r="E312" s="15">
        <v>10562.0</v>
      </c>
      <c r="F312" s="19">
        <v>0.9997160435399906</v>
      </c>
      <c r="G312" s="15">
        <v>0.0</v>
      </c>
      <c r="H312" s="15">
        <v>0.0</v>
      </c>
      <c r="I312" s="15">
        <v>1.0</v>
      </c>
      <c r="J312" s="15">
        <v>0.0</v>
      </c>
      <c r="K312" s="15">
        <v>0.0</v>
      </c>
      <c r="L312" s="17"/>
      <c r="M312" s="20" t="s">
        <v>1747</v>
      </c>
    </row>
    <row r="313" ht="15.75" customHeight="1">
      <c r="A313" s="14" t="s">
        <v>97</v>
      </c>
      <c r="B313" s="15">
        <v>195.0</v>
      </c>
      <c r="C313" s="17" t="s">
        <v>1749</v>
      </c>
      <c r="D313" s="16" t="s">
        <v>68</v>
      </c>
      <c r="E313" s="15">
        <v>10562.0</v>
      </c>
      <c r="F313" s="19">
        <v>0.9997160435399906</v>
      </c>
      <c r="G313" s="15">
        <v>0.0</v>
      </c>
      <c r="H313" s="15">
        <v>0.0</v>
      </c>
      <c r="I313" s="15">
        <v>1.0</v>
      </c>
      <c r="J313" s="15">
        <v>0.0</v>
      </c>
      <c r="K313" s="15">
        <v>0.0</v>
      </c>
      <c r="L313" s="17"/>
      <c r="M313" s="20" t="s">
        <v>1214</v>
      </c>
    </row>
    <row r="314" ht="15.75" customHeight="1">
      <c r="A314" s="14" t="s">
        <v>97</v>
      </c>
      <c r="B314" s="15">
        <v>196.0</v>
      </c>
      <c r="C314" s="17" t="s">
        <v>1752</v>
      </c>
      <c r="D314" s="16" t="s">
        <v>68</v>
      </c>
      <c r="E314" s="15">
        <v>10564.0</v>
      </c>
      <c r="F314" s="19">
        <v>0.9999053478466635</v>
      </c>
      <c r="G314" s="15">
        <v>0.0</v>
      </c>
      <c r="H314" s="15">
        <v>0.0</v>
      </c>
      <c r="I314" s="15">
        <v>1.0</v>
      </c>
      <c r="J314" s="15">
        <v>0.0</v>
      </c>
      <c r="K314" s="15">
        <v>0.0</v>
      </c>
      <c r="L314" s="17"/>
      <c r="M314" s="20" t="s">
        <v>1753</v>
      </c>
    </row>
    <row r="315" ht="15.75" customHeight="1">
      <c r="A315" s="14" t="s">
        <v>97</v>
      </c>
      <c r="B315" s="15">
        <v>197.0</v>
      </c>
      <c r="C315" s="17" t="s">
        <v>1756</v>
      </c>
      <c r="D315" s="16" t="s">
        <v>68</v>
      </c>
      <c r="E315" s="15">
        <v>10564.0</v>
      </c>
      <c r="F315" s="19">
        <v>0.9999053478466635</v>
      </c>
      <c r="G315" s="15">
        <v>0.0</v>
      </c>
      <c r="H315" s="15">
        <v>0.0</v>
      </c>
      <c r="I315" s="15">
        <v>1.0</v>
      </c>
      <c r="J315" s="15">
        <v>0.0</v>
      </c>
      <c r="K315" s="15">
        <v>0.0</v>
      </c>
      <c r="L315" s="17"/>
      <c r="M315" s="20" t="s">
        <v>1747</v>
      </c>
    </row>
    <row r="316" ht="15.75" customHeight="1">
      <c r="A316" s="14" t="s">
        <v>97</v>
      </c>
      <c r="B316" s="15">
        <v>198.0</v>
      </c>
      <c r="C316" s="17" t="s">
        <v>1757</v>
      </c>
      <c r="D316" s="16" t="s">
        <v>68</v>
      </c>
      <c r="E316" s="15">
        <v>10564.0</v>
      </c>
      <c r="F316" s="19">
        <v>0.9999053478466635</v>
      </c>
      <c r="G316" s="15">
        <v>0.0</v>
      </c>
      <c r="H316" s="15">
        <v>0.0</v>
      </c>
      <c r="I316" s="15">
        <v>1.0</v>
      </c>
      <c r="J316" s="15">
        <v>0.0</v>
      </c>
      <c r="K316" s="15">
        <v>0.0</v>
      </c>
      <c r="L316" s="17"/>
      <c r="M316" s="20" t="s">
        <v>1214</v>
      </c>
    </row>
    <row r="317" ht="15.75" customHeight="1">
      <c r="A317" s="14" t="s">
        <v>97</v>
      </c>
      <c r="B317" s="15">
        <v>199.0</v>
      </c>
      <c r="C317" s="17" t="s">
        <v>1685</v>
      </c>
      <c r="D317" s="16" t="s">
        <v>66</v>
      </c>
      <c r="E317" s="15">
        <v>10564.0</v>
      </c>
      <c r="F317" s="19">
        <v>0.9999053478466635</v>
      </c>
      <c r="G317" s="15">
        <v>0.0</v>
      </c>
      <c r="H317" s="15">
        <v>0.0</v>
      </c>
      <c r="I317" s="15">
        <v>1.0</v>
      </c>
      <c r="J317" s="15">
        <v>0.0</v>
      </c>
      <c r="K317" s="15">
        <v>0.0</v>
      </c>
      <c r="L317" s="17"/>
      <c r="M317" s="20" t="s">
        <v>1759</v>
      </c>
    </row>
    <row r="318" ht="15.75" customHeight="1">
      <c r="A318" s="14" t="s">
        <v>97</v>
      </c>
      <c r="B318" s="15">
        <v>200.0</v>
      </c>
      <c r="C318" s="17" t="s">
        <v>1762</v>
      </c>
      <c r="D318" s="16" t="s">
        <v>68</v>
      </c>
      <c r="E318" s="15">
        <v>10564.0</v>
      </c>
      <c r="F318" s="19">
        <v>0.9999053478466635</v>
      </c>
      <c r="G318" s="15">
        <v>0.0</v>
      </c>
      <c r="H318" s="15">
        <v>0.0</v>
      </c>
      <c r="I318" s="15">
        <v>1.0</v>
      </c>
      <c r="J318" s="15">
        <v>0.0</v>
      </c>
      <c r="K318" s="15">
        <v>0.0</v>
      </c>
      <c r="L318" s="17"/>
      <c r="M318" s="20" t="s">
        <v>1747</v>
      </c>
    </row>
    <row r="319" ht="15.75" customHeight="1">
      <c r="A319" s="14" t="s">
        <v>97</v>
      </c>
      <c r="B319" s="15">
        <v>201.0</v>
      </c>
      <c r="C319" s="17" t="s">
        <v>1763</v>
      </c>
      <c r="D319" s="16" t="s">
        <v>68</v>
      </c>
      <c r="E319" s="15">
        <v>10564.0</v>
      </c>
      <c r="F319" s="19">
        <v>0.9999053478466635</v>
      </c>
      <c r="G319" s="15">
        <v>0.0</v>
      </c>
      <c r="H319" s="15">
        <v>0.0</v>
      </c>
      <c r="I319" s="15">
        <v>1.0</v>
      </c>
      <c r="J319" s="15">
        <v>0.0</v>
      </c>
      <c r="K319" s="15">
        <v>0.0</v>
      </c>
      <c r="L319" s="17"/>
      <c r="M319" s="20" t="s">
        <v>1214</v>
      </c>
    </row>
    <row r="320" ht="15.75" customHeight="1">
      <c r="A320" s="14" t="s">
        <v>97</v>
      </c>
      <c r="B320" s="15">
        <v>202.0</v>
      </c>
      <c r="C320" s="17" t="s">
        <v>608</v>
      </c>
      <c r="D320" s="16" t="s">
        <v>458</v>
      </c>
      <c r="E320" s="15">
        <v>6597.0</v>
      </c>
      <c r="F320" s="19">
        <v>0.624420255560814</v>
      </c>
      <c r="G320" s="15">
        <v>0.0</v>
      </c>
      <c r="H320" s="15">
        <v>0.0</v>
      </c>
      <c r="I320" s="15">
        <v>3664.0</v>
      </c>
      <c r="J320" s="15">
        <v>0.0</v>
      </c>
      <c r="K320" s="15">
        <v>0.0</v>
      </c>
      <c r="L320" s="17"/>
      <c r="M320" s="20" t="s">
        <v>1766</v>
      </c>
    </row>
    <row r="321" ht="15.75" customHeight="1">
      <c r="A321" s="14" t="s">
        <v>97</v>
      </c>
      <c r="B321" s="15">
        <v>203.0</v>
      </c>
      <c r="C321" s="17" t="s">
        <v>612</v>
      </c>
      <c r="D321" s="16" t="s">
        <v>458</v>
      </c>
      <c r="E321" s="15">
        <v>10078.0</v>
      </c>
      <c r="F321" s="19">
        <v>0.9539044013251301</v>
      </c>
      <c r="G321" s="15">
        <v>0.0</v>
      </c>
      <c r="H321" s="15">
        <v>0.0</v>
      </c>
      <c r="I321" s="15">
        <v>466.0</v>
      </c>
      <c r="J321" s="15">
        <v>0.0</v>
      </c>
      <c r="K321" s="15">
        <v>1.0</v>
      </c>
      <c r="L321" s="17"/>
      <c r="M321" s="20" t="s">
        <v>1770</v>
      </c>
    </row>
    <row r="322" ht="15.75" customHeight="1">
      <c r="A322" s="14" t="s">
        <v>97</v>
      </c>
      <c r="B322" s="15">
        <v>204.0</v>
      </c>
      <c r="C322" s="17" t="s">
        <v>619</v>
      </c>
      <c r="D322" s="16" t="s">
        <v>458</v>
      </c>
      <c r="E322" s="15">
        <v>10308.0</v>
      </c>
      <c r="F322" s="19">
        <v>0.9756743965925225</v>
      </c>
      <c r="G322" s="15">
        <v>0.0</v>
      </c>
      <c r="H322" s="15">
        <v>0.0</v>
      </c>
      <c r="I322" s="15">
        <v>248.0</v>
      </c>
      <c r="J322" s="15">
        <v>0.0</v>
      </c>
      <c r="K322" s="15">
        <v>3.0</v>
      </c>
      <c r="L322" s="17"/>
      <c r="M322" s="20" t="s">
        <v>1773</v>
      </c>
    </row>
    <row r="323" ht="15.75" customHeight="1">
      <c r="A323" s="14" t="s">
        <v>97</v>
      </c>
      <c r="B323" s="15">
        <v>205.0</v>
      </c>
      <c r="C323" s="17" t="s">
        <v>1776</v>
      </c>
      <c r="D323" s="16" t="s">
        <v>458</v>
      </c>
      <c r="E323" s="15">
        <v>10541.0</v>
      </c>
      <c r="F323" s="19">
        <v>0.9977283483199243</v>
      </c>
      <c r="G323" s="15">
        <v>0.0</v>
      </c>
      <c r="H323" s="15">
        <v>0.0</v>
      </c>
      <c r="I323" s="15">
        <v>24.0</v>
      </c>
      <c r="J323" s="15">
        <v>0.0</v>
      </c>
      <c r="K323" s="15">
        <v>0.0</v>
      </c>
      <c r="L323" s="17"/>
      <c r="M323" s="20" t="s">
        <v>1777</v>
      </c>
    </row>
    <row r="324" ht="15.75" customHeight="1">
      <c r="A324" s="14" t="s">
        <v>97</v>
      </c>
      <c r="B324" s="15">
        <v>206.0</v>
      </c>
      <c r="C324" s="17" t="s">
        <v>1779</v>
      </c>
      <c r="D324" s="16" t="s">
        <v>458</v>
      </c>
      <c r="E324" s="15">
        <v>10558.0</v>
      </c>
      <c r="F324" s="19">
        <v>0.9993374349266446</v>
      </c>
      <c r="G324" s="15">
        <v>0.0</v>
      </c>
      <c r="H324" s="15">
        <v>0.0</v>
      </c>
      <c r="I324" s="15">
        <v>7.0</v>
      </c>
      <c r="J324" s="15">
        <v>0.0</v>
      </c>
      <c r="K324" s="15">
        <v>0.0</v>
      </c>
      <c r="L324" s="17"/>
      <c r="M324" s="20" t="s">
        <v>1780</v>
      </c>
    </row>
    <row r="325" ht="15.75" customHeight="1">
      <c r="A325" s="14" t="s">
        <v>97</v>
      </c>
      <c r="B325" s="15">
        <v>207.0</v>
      </c>
      <c r="C325" s="17" t="s">
        <v>1783</v>
      </c>
      <c r="D325" s="16" t="s">
        <v>458</v>
      </c>
      <c r="E325" s="15">
        <v>10562.0</v>
      </c>
      <c r="F325" s="19">
        <v>0.9997160435399906</v>
      </c>
      <c r="G325" s="15">
        <v>0.0</v>
      </c>
      <c r="H325" s="15">
        <v>0.0</v>
      </c>
      <c r="I325" s="15">
        <v>3.0</v>
      </c>
      <c r="J325" s="15">
        <v>0.0</v>
      </c>
      <c r="K325" s="15">
        <v>0.0</v>
      </c>
      <c r="L325" s="17"/>
      <c r="M325" s="20" t="s">
        <v>1784</v>
      </c>
    </row>
    <row r="326" ht="15.75" customHeight="1">
      <c r="A326" s="14" t="s">
        <v>97</v>
      </c>
      <c r="B326" s="15">
        <v>208.0</v>
      </c>
      <c r="C326" s="17" t="s">
        <v>1788</v>
      </c>
      <c r="D326" s="16" t="s">
        <v>458</v>
      </c>
      <c r="E326" s="15">
        <v>10564.0</v>
      </c>
      <c r="F326" s="19">
        <v>0.9999053478466635</v>
      </c>
      <c r="G326" s="15">
        <v>0.0</v>
      </c>
      <c r="H326" s="15">
        <v>0.0</v>
      </c>
      <c r="I326" s="15">
        <v>1.0</v>
      </c>
      <c r="J326" s="15">
        <v>0.0</v>
      </c>
      <c r="K326" s="15">
        <v>0.0</v>
      </c>
      <c r="L326" s="17"/>
      <c r="M326" s="20" t="s">
        <v>1789</v>
      </c>
    </row>
    <row r="327" ht="15.75" customHeight="1">
      <c r="A327" s="14" t="s">
        <v>97</v>
      </c>
      <c r="B327" s="15">
        <v>209.0</v>
      </c>
      <c r="C327" s="17" t="s">
        <v>1792</v>
      </c>
      <c r="D327" s="16" t="s">
        <v>458</v>
      </c>
      <c r="E327" s="15">
        <v>10564.0</v>
      </c>
      <c r="F327" s="19">
        <v>0.9999053478466635</v>
      </c>
      <c r="G327" s="15">
        <v>0.0</v>
      </c>
      <c r="H327" s="15">
        <v>0.0</v>
      </c>
      <c r="I327" s="15">
        <v>1.0</v>
      </c>
      <c r="J327" s="15">
        <v>0.0</v>
      </c>
      <c r="K327" s="15">
        <v>0.0</v>
      </c>
      <c r="L327" s="17"/>
      <c r="M327" s="20" t="s">
        <v>1793</v>
      </c>
    </row>
    <row r="328" ht="15.75" customHeight="1">
      <c r="A328" s="14" t="s">
        <v>97</v>
      </c>
      <c r="B328" s="15">
        <v>210.0</v>
      </c>
      <c r="C328" s="17" t="s">
        <v>393</v>
      </c>
      <c r="D328" s="16" t="s">
        <v>68</v>
      </c>
      <c r="E328" s="15">
        <v>6784.0</v>
      </c>
      <c r="F328" s="19">
        <v>0.6421202082347374</v>
      </c>
      <c r="G328" s="15">
        <v>0.0</v>
      </c>
      <c r="H328" s="15">
        <v>0.0</v>
      </c>
      <c r="I328" s="15">
        <v>3489.0</v>
      </c>
      <c r="J328" s="15">
        <v>32.0</v>
      </c>
      <c r="K328" s="15">
        <v>515.0</v>
      </c>
      <c r="L328" s="17"/>
      <c r="M328" s="20" t="s">
        <v>1797</v>
      </c>
    </row>
    <row r="329" ht="15.75" customHeight="1">
      <c r="A329" s="14" t="s">
        <v>97</v>
      </c>
      <c r="B329" s="15">
        <v>211.0</v>
      </c>
      <c r="C329" s="17" t="s">
        <v>1231</v>
      </c>
      <c r="D329" s="16" t="s">
        <v>68</v>
      </c>
      <c r="E329" s="15">
        <v>6784.0</v>
      </c>
      <c r="F329" s="19">
        <v>0.6421202082347374</v>
      </c>
      <c r="G329" s="15">
        <v>3490.0</v>
      </c>
      <c r="H329" s="15">
        <v>0.0</v>
      </c>
      <c r="I329" s="15">
        <v>8.0</v>
      </c>
      <c r="J329" s="15">
        <v>76.0</v>
      </c>
      <c r="K329" s="15">
        <v>0.0</v>
      </c>
      <c r="L329" s="17"/>
      <c r="M329" s="20" t="s">
        <v>1800</v>
      </c>
    </row>
    <row r="330" ht="15.75" customHeight="1">
      <c r="A330" s="14" t="s">
        <v>97</v>
      </c>
      <c r="B330" s="15">
        <v>212.0</v>
      </c>
      <c r="C330" s="17" t="s">
        <v>1202</v>
      </c>
      <c r="D330" s="16" t="s">
        <v>68</v>
      </c>
      <c r="E330" s="15">
        <v>10480.0</v>
      </c>
      <c r="F330" s="19">
        <v>0.9919545669663985</v>
      </c>
      <c r="G330" s="15">
        <v>0.0</v>
      </c>
      <c r="H330" s="15">
        <v>0.0</v>
      </c>
      <c r="I330" s="15">
        <v>79.0</v>
      </c>
      <c r="J330" s="15">
        <v>5.0</v>
      </c>
      <c r="K330" s="15">
        <v>5.0</v>
      </c>
      <c r="L330" s="17"/>
      <c r="M330" s="20" t="s">
        <v>1801</v>
      </c>
    </row>
    <row r="331" ht="15.75" customHeight="1">
      <c r="A331" s="14" t="s">
        <v>97</v>
      </c>
      <c r="B331" s="15">
        <v>213.0</v>
      </c>
      <c r="C331" s="17" t="s">
        <v>1802</v>
      </c>
      <c r="D331" s="16" t="s">
        <v>138</v>
      </c>
      <c r="E331" s="15">
        <v>6784.0</v>
      </c>
      <c r="F331" s="19">
        <v>0.6421202082347374</v>
      </c>
      <c r="G331" s="15">
        <v>0.0</v>
      </c>
      <c r="H331" s="15">
        <v>0.0</v>
      </c>
      <c r="I331" s="15">
        <v>5.0</v>
      </c>
      <c r="J331" s="15">
        <v>0.0</v>
      </c>
      <c r="K331" s="15">
        <v>0.0</v>
      </c>
      <c r="L331" s="17"/>
      <c r="M331" s="20" t="s">
        <v>1803</v>
      </c>
    </row>
    <row r="332" ht="15.75" customHeight="1">
      <c r="A332" s="14" t="s">
        <v>97</v>
      </c>
      <c r="B332" s="15">
        <v>214.0</v>
      </c>
      <c r="C332" s="17" t="s">
        <v>1804</v>
      </c>
      <c r="D332" s="16" t="s">
        <v>357</v>
      </c>
      <c r="E332" s="15">
        <v>6784.0</v>
      </c>
      <c r="F332" s="19">
        <v>0.6421202082347374</v>
      </c>
      <c r="G332" s="15">
        <v>0.0</v>
      </c>
      <c r="H332" s="15">
        <v>0.0</v>
      </c>
      <c r="I332" s="15">
        <v>2.0</v>
      </c>
      <c r="J332" s="15">
        <v>0.0</v>
      </c>
      <c r="K332" s="15">
        <v>0.0</v>
      </c>
      <c r="L332" s="17"/>
      <c r="M332" s="20" t="s">
        <v>930</v>
      </c>
    </row>
    <row r="333" ht="15.75" customHeight="1">
      <c r="A333" s="14" t="s">
        <v>97</v>
      </c>
      <c r="B333" s="15">
        <v>215.0</v>
      </c>
      <c r="C333" s="17" t="s">
        <v>1805</v>
      </c>
      <c r="D333" s="16" t="s">
        <v>357</v>
      </c>
      <c r="E333" s="15">
        <v>6784.0</v>
      </c>
      <c r="F333" s="19">
        <v>0.6421202082347374</v>
      </c>
      <c r="G333" s="15">
        <v>0.0</v>
      </c>
      <c r="H333" s="15">
        <v>0.0</v>
      </c>
      <c r="I333" s="15">
        <v>2.0</v>
      </c>
      <c r="J333" s="15">
        <v>0.0</v>
      </c>
      <c r="K333" s="15">
        <v>0.0</v>
      </c>
      <c r="L333" s="17"/>
      <c r="M333" s="20" t="s">
        <v>930</v>
      </c>
    </row>
    <row r="334" ht="15.75" customHeight="1">
      <c r="A334" s="14" t="s">
        <v>97</v>
      </c>
      <c r="B334" s="15">
        <v>216.0</v>
      </c>
      <c r="C334" s="17" t="s">
        <v>1233</v>
      </c>
      <c r="D334" s="16" t="s">
        <v>68</v>
      </c>
      <c r="E334" s="15">
        <v>7091.0</v>
      </c>
      <c r="F334" s="19">
        <v>0.6711784193090393</v>
      </c>
      <c r="G334" s="15">
        <v>0.0</v>
      </c>
      <c r="H334" s="15">
        <v>0.0</v>
      </c>
      <c r="I334" s="15">
        <v>15.0</v>
      </c>
      <c r="J334" s="15">
        <v>77.0</v>
      </c>
      <c r="K334" s="15">
        <v>0.0</v>
      </c>
      <c r="L334" s="17"/>
      <c r="M334" s="20" t="s">
        <v>1806</v>
      </c>
    </row>
    <row r="335" ht="15.75" customHeight="1">
      <c r="A335" s="14" t="s">
        <v>97</v>
      </c>
      <c r="B335" s="15">
        <v>217.0</v>
      </c>
      <c r="C335" s="17" t="s">
        <v>904</v>
      </c>
      <c r="D335" s="16" t="s">
        <v>138</v>
      </c>
      <c r="E335" s="15">
        <v>10560.0</v>
      </c>
      <c r="F335" s="19">
        <v>0.9995267392333176</v>
      </c>
      <c r="G335" s="15">
        <v>0.0</v>
      </c>
      <c r="H335" s="15">
        <v>0.0</v>
      </c>
      <c r="I335" s="15">
        <v>5.0</v>
      </c>
      <c r="J335" s="15">
        <v>0.0</v>
      </c>
      <c r="K335" s="15">
        <v>1.0</v>
      </c>
      <c r="L335" s="17"/>
      <c r="M335" s="20" t="s">
        <v>1807</v>
      </c>
    </row>
    <row r="336" ht="15.75" customHeight="1">
      <c r="A336" s="14" t="s">
        <v>97</v>
      </c>
      <c r="B336" s="15">
        <v>218.0</v>
      </c>
      <c r="C336" s="17" t="s">
        <v>646</v>
      </c>
      <c r="D336" s="16" t="s">
        <v>458</v>
      </c>
      <c r="E336" s="15">
        <v>10530.0</v>
      </c>
      <c r="F336" s="19">
        <v>0.9966871746332229</v>
      </c>
      <c r="G336" s="15">
        <v>0.0</v>
      </c>
      <c r="H336" s="15">
        <v>0.0</v>
      </c>
      <c r="I336" s="15">
        <v>35.0</v>
      </c>
      <c r="J336" s="15">
        <v>0.0</v>
      </c>
      <c r="K336" s="15">
        <v>0.0</v>
      </c>
      <c r="L336" s="17"/>
      <c r="M336" s="20" t="s">
        <v>1808</v>
      </c>
    </row>
    <row r="337" ht="15.75" customHeight="1">
      <c r="A337" s="14" t="s">
        <v>97</v>
      </c>
      <c r="B337" s="15">
        <v>219.0</v>
      </c>
      <c r="C337" s="17" t="s">
        <v>899</v>
      </c>
      <c r="D337" s="16" t="s">
        <v>68</v>
      </c>
      <c r="E337" s="15">
        <v>7116.0</v>
      </c>
      <c r="F337" s="19">
        <v>0.6735447231424515</v>
      </c>
      <c r="G337" s="15">
        <v>0.0</v>
      </c>
      <c r="H337" s="15">
        <v>0.0</v>
      </c>
      <c r="I337" s="15">
        <v>3229.0</v>
      </c>
      <c r="J337" s="15">
        <v>0.0</v>
      </c>
      <c r="K337" s="15">
        <v>3.0</v>
      </c>
      <c r="L337" s="17"/>
      <c r="M337" s="20" t="s">
        <v>1809</v>
      </c>
    </row>
    <row r="338" ht="15.75" customHeight="1">
      <c r="A338" s="14" t="s">
        <v>97</v>
      </c>
      <c r="B338" s="15">
        <v>220.0</v>
      </c>
      <c r="C338" s="17" t="s">
        <v>1211</v>
      </c>
      <c r="D338" s="16" t="s">
        <v>68</v>
      </c>
      <c r="E338" s="15">
        <v>7116.0</v>
      </c>
      <c r="F338" s="19">
        <v>0.6735447231424515</v>
      </c>
      <c r="G338" s="15">
        <v>3224.0</v>
      </c>
      <c r="H338" s="15">
        <v>0.0</v>
      </c>
      <c r="I338" s="15">
        <v>8.0</v>
      </c>
      <c r="J338" s="15">
        <v>6.0</v>
      </c>
      <c r="K338" s="15">
        <v>0.0</v>
      </c>
      <c r="L338" s="17"/>
      <c r="M338" s="20" t="s">
        <v>1811</v>
      </c>
    </row>
    <row r="339" ht="15.75" customHeight="1">
      <c r="A339" s="14" t="s">
        <v>97</v>
      </c>
      <c r="B339" s="15">
        <v>221.0</v>
      </c>
      <c r="C339" s="17" t="s">
        <v>1206</v>
      </c>
      <c r="D339" s="16" t="s">
        <v>68</v>
      </c>
      <c r="E339" s="15">
        <v>7116.0</v>
      </c>
      <c r="F339" s="19">
        <v>0.6735447231424515</v>
      </c>
      <c r="G339" s="15">
        <v>0.0</v>
      </c>
      <c r="H339" s="15">
        <v>0.0</v>
      </c>
      <c r="I339" s="15">
        <v>7.0</v>
      </c>
      <c r="J339" s="15">
        <v>3.0</v>
      </c>
      <c r="K339" s="15">
        <v>0.0</v>
      </c>
      <c r="L339" s="17"/>
      <c r="M339" s="20" t="s">
        <v>1812</v>
      </c>
    </row>
    <row r="340" ht="15.75" customHeight="1">
      <c r="A340" s="14" t="s">
        <v>97</v>
      </c>
      <c r="B340" s="15">
        <v>222.0</v>
      </c>
      <c r="C340" s="17" t="s">
        <v>1208</v>
      </c>
      <c r="D340" s="16" t="s">
        <v>68</v>
      </c>
      <c r="E340" s="15">
        <v>7496.0</v>
      </c>
      <c r="F340" s="19">
        <v>0.709512541410317</v>
      </c>
      <c r="G340" s="15">
        <v>0.0</v>
      </c>
      <c r="H340" s="15">
        <v>0.0</v>
      </c>
      <c r="I340" s="15">
        <v>5.0</v>
      </c>
      <c r="J340" s="15">
        <v>2.0</v>
      </c>
      <c r="K340" s="15">
        <v>0.0</v>
      </c>
      <c r="L340" s="17"/>
      <c r="M340" s="20" t="s">
        <v>1439</v>
      </c>
    </row>
    <row r="341" ht="15.75" customHeight="1">
      <c r="A341" s="14" t="s">
        <v>97</v>
      </c>
      <c r="B341" s="15">
        <v>223.0</v>
      </c>
      <c r="C341" s="17" t="s">
        <v>1727</v>
      </c>
      <c r="D341" s="16" t="s">
        <v>68</v>
      </c>
      <c r="E341" s="15">
        <v>10258.0</v>
      </c>
      <c r="F341" s="19">
        <v>0.970941788925698</v>
      </c>
      <c r="G341" s="15">
        <v>0.0</v>
      </c>
      <c r="H341" s="15">
        <v>0.0</v>
      </c>
      <c r="I341" s="15">
        <v>301.0</v>
      </c>
      <c r="J341" s="15">
        <v>0.0</v>
      </c>
      <c r="K341" s="15">
        <v>0.0</v>
      </c>
      <c r="L341" s="17"/>
      <c r="M341" s="20" t="s">
        <v>1813</v>
      </c>
    </row>
    <row r="342" ht="15.75" customHeight="1">
      <c r="A342" s="14" t="s">
        <v>97</v>
      </c>
      <c r="B342" s="15">
        <v>224.0</v>
      </c>
      <c r="C342" s="17" t="s">
        <v>1218</v>
      </c>
      <c r="D342" s="16" t="s">
        <v>68</v>
      </c>
      <c r="E342" s="15">
        <v>10258.0</v>
      </c>
      <c r="F342" s="19">
        <v>0.970941788925698</v>
      </c>
      <c r="G342" s="15">
        <v>138.0</v>
      </c>
      <c r="H342" s="15">
        <v>0.0</v>
      </c>
      <c r="I342" s="15">
        <v>9.0</v>
      </c>
      <c r="J342" s="15">
        <v>5.0</v>
      </c>
      <c r="K342" s="15">
        <v>0.0</v>
      </c>
      <c r="L342" s="17"/>
      <c r="M342" s="20" t="s">
        <v>1695</v>
      </c>
    </row>
    <row r="343" ht="15.75" customHeight="1">
      <c r="A343" s="14" t="s">
        <v>97</v>
      </c>
      <c r="B343" s="15">
        <v>225.0</v>
      </c>
      <c r="C343" s="17" t="s">
        <v>1213</v>
      </c>
      <c r="D343" s="16" t="s">
        <v>68</v>
      </c>
      <c r="E343" s="15">
        <v>10258.0</v>
      </c>
      <c r="F343" s="19">
        <v>0.970941788925698</v>
      </c>
      <c r="G343" s="15">
        <v>0.0</v>
      </c>
      <c r="H343" s="15">
        <v>0.0</v>
      </c>
      <c r="I343" s="15">
        <v>6.0</v>
      </c>
      <c r="J343" s="15">
        <v>2.0</v>
      </c>
      <c r="K343" s="15">
        <v>0.0</v>
      </c>
      <c r="L343" s="17"/>
      <c r="M343" s="20" t="s">
        <v>1124</v>
      </c>
    </row>
    <row r="344" ht="15.75" customHeight="1">
      <c r="A344" s="14" t="s">
        <v>97</v>
      </c>
      <c r="B344" s="15">
        <v>226.0</v>
      </c>
      <c r="C344" s="17" t="s">
        <v>1215</v>
      </c>
      <c r="D344" s="16" t="s">
        <v>68</v>
      </c>
      <c r="E344" s="15">
        <v>10388.0</v>
      </c>
      <c r="F344" s="19">
        <v>0.9832465688594415</v>
      </c>
      <c r="G344" s="15">
        <v>0.0</v>
      </c>
      <c r="H344" s="15">
        <v>0.0</v>
      </c>
      <c r="I344" s="15">
        <v>5.0</v>
      </c>
      <c r="J344" s="15">
        <v>2.0</v>
      </c>
      <c r="K344" s="15">
        <v>0.0</v>
      </c>
      <c r="L344" s="17"/>
      <c r="M344" s="20" t="s">
        <v>1815</v>
      </c>
    </row>
    <row r="345" ht="15.75" customHeight="1">
      <c r="A345" s="14" t="s">
        <v>97</v>
      </c>
      <c r="B345" s="15">
        <v>227.0</v>
      </c>
      <c r="C345" s="17" t="s">
        <v>1728</v>
      </c>
      <c r="D345" s="16" t="s">
        <v>68</v>
      </c>
      <c r="E345" s="15">
        <v>10431.0</v>
      </c>
      <c r="F345" s="19">
        <v>0.9873166114529106</v>
      </c>
      <c r="G345" s="15">
        <v>0.0</v>
      </c>
      <c r="H345" s="15">
        <v>0.0</v>
      </c>
      <c r="I345" s="15">
        <v>134.0</v>
      </c>
      <c r="J345" s="15">
        <v>0.0</v>
      </c>
      <c r="K345" s="15">
        <v>0.0</v>
      </c>
      <c r="L345" s="17"/>
      <c r="M345" s="20" t="s">
        <v>1816</v>
      </c>
    </row>
    <row r="346" ht="15.75" customHeight="1">
      <c r="A346" s="14" t="s">
        <v>97</v>
      </c>
      <c r="B346" s="15">
        <v>228.0</v>
      </c>
      <c r="C346" s="17" t="s">
        <v>1223</v>
      </c>
      <c r="D346" s="16" t="s">
        <v>68</v>
      </c>
      <c r="E346" s="15">
        <v>10431.0</v>
      </c>
      <c r="F346" s="19">
        <v>0.9873166114529106</v>
      </c>
      <c r="G346" s="15">
        <v>27.0</v>
      </c>
      <c r="H346" s="15">
        <v>0.0</v>
      </c>
      <c r="I346" s="15">
        <v>5.0</v>
      </c>
      <c r="J346" s="15">
        <v>1.0</v>
      </c>
      <c r="K346" s="15">
        <v>0.0</v>
      </c>
      <c r="L346" s="17"/>
      <c r="M346" s="20" t="s">
        <v>1055</v>
      </c>
    </row>
    <row r="347" ht="15.75" customHeight="1">
      <c r="A347" s="14" t="s">
        <v>97</v>
      </c>
      <c r="B347" s="15">
        <v>229.0</v>
      </c>
      <c r="C347" s="17" t="s">
        <v>1818</v>
      </c>
      <c r="D347" s="16" t="s">
        <v>68</v>
      </c>
      <c r="E347" s="15">
        <v>10431.0</v>
      </c>
      <c r="F347" s="19">
        <v>0.9873166114529106</v>
      </c>
      <c r="G347" s="15">
        <v>0.0</v>
      </c>
      <c r="H347" s="15">
        <v>0.0</v>
      </c>
      <c r="I347" s="15">
        <v>4.0</v>
      </c>
      <c r="J347" s="15">
        <v>0.0</v>
      </c>
      <c r="K347" s="15">
        <v>0.0</v>
      </c>
      <c r="L347" s="17"/>
      <c r="M347" s="20" t="s">
        <v>1124</v>
      </c>
    </row>
    <row r="348" ht="15.75" customHeight="1">
      <c r="A348" s="14" t="s">
        <v>97</v>
      </c>
      <c r="B348" s="15">
        <v>230.0</v>
      </c>
      <c r="C348" s="17" t="s">
        <v>1220</v>
      </c>
      <c r="D348" s="16" t="s">
        <v>68</v>
      </c>
      <c r="E348" s="15">
        <v>10504.0</v>
      </c>
      <c r="F348" s="19">
        <v>0.9942262186464742</v>
      </c>
      <c r="G348" s="15">
        <v>0.0</v>
      </c>
      <c r="H348" s="15">
        <v>0.0</v>
      </c>
      <c r="I348" s="15">
        <v>5.0</v>
      </c>
      <c r="J348" s="15">
        <v>2.0</v>
      </c>
      <c r="K348" s="15">
        <v>0.0</v>
      </c>
      <c r="L348" s="17"/>
      <c r="M348" s="20" t="s">
        <v>1439</v>
      </c>
    </row>
    <row r="349" ht="15.75" customHeight="1">
      <c r="A349" s="14" t="s">
        <v>97</v>
      </c>
      <c r="B349" s="15">
        <v>231.0</v>
      </c>
      <c r="C349" s="17" t="s">
        <v>1731</v>
      </c>
      <c r="D349" s="16" t="s">
        <v>68</v>
      </c>
      <c r="E349" s="15">
        <v>10510.0</v>
      </c>
      <c r="F349" s="19">
        <v>0.9947941315664931</v>
      </c>
      <c r="G349" s="15">
        <v>0.0</v>
      </c>
      <c r="H349" s="15">
        <v>0.0</v>
      </c>
      <c r="I349" s="15">
        <v>55.0</v>
      </c>
      <c r="J349" s="15">
        <v>0.0</v>
      </c>
      <c r="K349" s="15">
        <v>0.0</v>
      </c>
      <c r="L349" s="17"/>
      <c r="M349" s="20" t="s">
        <v>1821</v>
      </c>
    </row>
    <row r="350" ht="15.75" customHeight="1">
      <c r="A350" s="14" t="s">
        <v>97</v>
      </c>
      <c r="B350" s="15">
        <v>232.0</v>
      </c>
      <c r="C350" s="17" t="s">
        <v>1823</v>
      </c>
      <c r="D350" s="16" t="s">
        <v>68</v>
      </c>
      <c r="E350" s="15">
        <v>10510.0</v>
      </c>
      <c r="F350" s="19">
        <v>0.9947941315664931</v>
      </c>
      <c r="G350" s="15">
        <v>1.0</v>
      </c>
      <c r="H350" s="15">
        <v>0.0</v>
      </c>
      <c r="I350" s="15">
        <v>4.0</v>
      </c>
      <c r="J350" s="15">
        <v>0.0</v>
      </c>
      <c r="K350" s="15">
        <v>0.0</v>
      </c>
      <c r="L350" s="17"/>
      <c r="M350" s="20" t="s">
        <v>1055</v>
      </c>
    </row>
    <row r="351" ht="15.75" customHeight="1">
      <c r="A351" s="14" t="s">
        <v>97</v>
      </c>
      <c r="B351" s="15">
        <v>233.0</v>
      </c>
      <c r="C351" s="17" t="s">
        <v>1224</v>
      </c>
      <c r="D351" s="16" t="s">
        <v>68</v>
      </c>
      <c r="E351" s="15">
        <v>10510.0</v>
      </c>
      <c r="F351" s="19">
        <v>0.9947941315664931</v>
      </c>
      <c r="G351" s="15">
        <v>0.0</v>
      </c>
      <c r="H351" s="15">
        <v>0.0</v>
      </c>
      <c r="I351" s="15">
        <v>4.0</v>
      </c>
      <c r="J351" s="15">
        <v>1.0</v>
      </c>
      <c r="K351" s="15">
        <v>0.0</v>
      </c>
      <c r="L351" s="17"/>
      <c r="M351" s="20" t="s">
        <v>1124</v>
      </c>
    </row>
    <row r="352" ht="15.75" customHeight="1">
      <c r="A352" s="14" t="s">
        <v>97</v>
      </c>
      <c r="B352" s="15">
        <v>234.0</v>
      </c>
      <c r="C352" s="17" t="s">
        <v>1226</v>
      </c>
      <c r="D352" s="16" t="s">
        <v>68</v>
      </c>
      <c r="E352" s="15">
        <v>10540.0</v>
      </c>
      <c r="F352" s="19">
        <v>0.9976336961665878</v>
      </c>
      <c r="G352" s="15">
        <v>0.0</v>
      </c>
      <c r="H352" s="15">
        <v>0.0</v>
      </c>
      <c r="I352" s="15">
        <v>4.0</v>
      </c>
      <c r="J352" s="15">
        <v>1.0</v>
      </c>
      <c r="K352" s="15">
        <v>0.0</v>
      </c>
      <c r="L352" s="17"/>
      <c r="M352" s="20" t="s">
        <v>1439</v>
      </c>
    </row>
    <row r="353" ht="15.75" customHeight="1">
      <c r="A353" s="14" t="s">
        <v>97</v>
      </c>
      <c r="B353" s="15">
        <v>235.0</v>
      </c>
      <c r="C353" s="17" t="s">
        <v>1735</v>
      </c>
      <c r="D353" s="16" t="s">
        <v>68</v>
      </c>
      <c r="E353" s="15">
        <v>10529.0</v>
      </c>
      <c r="F353" s="19">
        <v>0.9965925224798864</v>
      </c>
      <c r="G353" s="15">
        <v>0.0</v>
      </c>
      <c r="H353" s="15">
        <v>0.0</v>
      </c>
      <c r="I353" s="15">
        <v>36.0</v>
      </c>
      <c r="J353" s="15">
        <v>0.0</v>
      </c>
      <c r="K353" s="15">
        <v>0.0</v>
      </c>
      <c r="L353" s="17"/>
      <c r="M353" s="20" t="s">
        <v>1828</v>
      </c>
    </row>
    <row r="354" ht="15.75" customHeight="1">
      <c r="A354" s="14" t="s">
        <v>97</v>
      </c>
      <c r="B354" s="15">
        <v>236.0</v>
      </c>
      <c r="C354" s="17" t="s">
        <v>1831</v>
      </c>
      <c r="D354" s="16" t="s">
        <v>68</v>
      </c>
      <c r="E354" s="15">
        <v>10529.0</v>
      </c>
      <c r="F354" s="19">
        <v>0.9965925224798864</v>
      </c>
      <c r="G354" s="15">
        <v>0.0</v>
      </c>
      <c r="H354" s="15">
        <v>0.0</v>
      </c>
      <c r="I354" s="15">
        <v>2.0</v>
      </c>
      <c r="J354" s="15">
        <v>0.0</v>
      </c>
      <c r="K354" s="15">
        <v>0.0</v>
      </c>
      <c r="L354" s="17"/>
      <c r="M354" s="20" t="s">
        <v>1159</v>
      </c>
    </row>
    <row r="355" ht="15.75" customHeight="1">
      <c r="A355" s="14" t="s">
        <v>97</v>
      </c>
      <c r="B355" s="15">
        <v>237.0</v>
      </c>
      <c r="C355" s="17" t="s">
        <v>1834</v>
      </c>
      <c r="D355" s="16" t="s">
        <v>68</v>
      </c>
      <c r="E355" s="15">
        <v>10529.0</v>
      </c>
      <c r="F355" s="19">
        <v>0.9965925224798864</v>
      </c>
      <c r="G355" s="15">
        <v>0.0</v>
      </c>
      <c r="H355" s="15">
        <v>0.0</v>
      </c>
      <c r="I355" s="15">
        <v>2.0</v>
      </c>
      <c r="J355" s="15">
        <v>0.0</v>
      </c>
      <c r="K355" s="15">
        <v>0.0</v>
      </c>
      <c r="L355" s="17"/>
      <c r="M355" s="20" t="s">
        <v>1835</v>
      </c>
    </row>
    <row r="356" ht="15.75" customHeight="1">
      <c r="A356" s="14" t="s">
        <v>97</v>
      </c>
      <c r="B356" s="15">
        <v>238.0</v>
      </c>
      <c r="C356" s="17" t="s">
        <v>1228</v>
      </c>
      <c r="D356" s="16" t="s">
        <v>68</v>
      </c>
      <c r="E356" s="15">
        <v>10545.0</v>
      </c>
      <c r="F356" s="19">
        <v>0.9981069569332702</v>
      </c>
      <c r="G356" s="15">
        <v>0.0</v>
      </c>
      <c r="H356" s="15">
        <v>0.0</v>
      </c>
      <c r="I356" s="15">
        <v>3.0</v>
      </c>
      <c r="J356" s="15">
        <v>1.0</v>
      </c>
      <c r="K356" s="15">
        <v>0.0</v>
      </c>
      <c r="L356" s="17"/>
      <c r="M356" s="20" t="s">
        <v>1138</v>
      </c>
    </row>
    <row r="357" ht="15.75" customHeight="1">
      <c r="A357" s="14" t="s">
        <v>97</v>
      </c>
      <c r="B357" s="15">
        <v>239.0</v>
      </c>
      <c r="C357" s="17" t="s">
        <v>1838</v>
      </c>
      <c r="D357" s="16" t="s">
        <v>68</v>
      </c>
      <c r="E357" s="15">
        <v>10559.0</v>
      </c>
      <c r="F357" s="19">
        <v>0.9994320870799811</v>
      </c>
      <c r="G357" s="15">
        <v>0.0</v>
      </c>
      <c r="H357" s="15">
        <v>0.0</v>
      </c>
      <c r="I357" s="15">
        <v>6.0</v>
      </c>
      <c r="J357" s="15">
        <v>0.0</v>
      </c>
      <c r="K357" s="15">
        <v>0.0</v>
      </c>
      <c r="L357" s="17"/>
      <c r="M357" s="20" t="s">
        <v>1839</v>
      </c>
    </row>
    <row r="358" ht="15.75" customHeight="1">
      <c r="A358" s="14" t="s">
        <v>97</v>
      </c>
      <c r="B358" s="15">
        <v>240.0</v>
      </c>
      <c r="C358" s="17" t="s">
        <v>1843</v>
      </c>
      <c r="D358" s="16" t="s">
        <v>68</v>
      </c>
      <c r="E358" s="15">
        <v>10559.0</v>
      </c>
      <c r="F358" s="19">
        <v>0.9994320870799811</v>
      </c>
      <c r="G358" s="15">
        <v>1.0</v>
      </c>
      <c r="H358" s="15">
        <v>0.0</v>
      </c>
      <c r="I358" s="15">
        <v>2.0</v>
      </c>
      <c r="J358" s="15">
        <v>0.0</v>
      </c>
      <c r="K358" s="15">
        <v>0.0</v>
      </c>
      <c r="L358" s="17"/>
      <c r="M358" s="20" t="s">
        <v>1733</v>
      </c>
    </row>
    <row r="359" ht="15.75" customHeight="1">
      <c r="A359" s="14" t="s">
        <v>97</v>
      </c>
      <c r="B359" s="15">
        <v>241.0</v>
      </c>
      <c r="C359" s="17" t="s">
        <v>1846</v>
      </c>
      <c r="D359" s="16" t="s">
        <v>68</v>
      </c>
      <c r="E359" s="15">
        <v>10559.0</v>
      </c>
      <c r="F359" s="19">
        <v>0.9994320870799811</v>
      </c>
      <c r="G359" s="15">
        <v>0.0</v>
      </c>
      <c r="H359" s="15">
        <v>0.0</v>
      </c>
      <c r="I359" s="15">
        <v>1.0</v>
      </c>
      <c r="J359" s="15">
        <v>0.0</v>
      </c>
      <c r="K359" s="15">
        <v>0.0</v>
      </c>
      <c r="L359" s="17"/>
      <c r="M359" s="20" t="s">
        <v>1214</v>
      </c>
    </row>
    <row r="360" ht="15.75" customHeight="1">
      <c r="A360" s="14" t="s">
        <v>97</v>
      </c>
      <c r="B360" s="15">
        <v>242.0</v>
      </c>
      <c r="C360" s="17" t="s">
        <v>1738</v>
      </c>
      <c r="D360" s="16" t="s">
        <v>68</v>
      </c>
      <c r="E360" s="15">
        <v>10562.0</v>
      </c>
      <c r="F360" s="19">
        <v>0.9997160435399906</v>
      </c>
      <c r="G360" s="15">
        <v>0.0</v>
      </c>
      <c r="H360" s="15">
        <v>0.0</v>
      </c>
      <c r="I360" s="15">
        <v>3.0</v>
      </c>
      <c r="J360" s="15">
        <v>0.0</v>
      </c>
      <c r="K360" s="15">
        <v>0.0</v>
      </c>
      <c r="L360" s="17"/>
      <c r="M360" s="20" t="s">
        <v>1849</v>
      </c>
    </row>
    <row r="361" ht="15.75" customHeight="1">
      <c r="A361" s="14" t="s">
        <v>97</v>
      </c>
      <c r="B361" s="15">
        <v>243.0</v>
      </c>
      <c r="C361" s="17" t="s">
        <v>1852</v>
      </c>
      <c r="D361" s="16" t="s">
        <v>68</v>
      </c>
      <c r="E361" s="15">
        <v>10562.0</v>
      </c>
      <c r="F361" s="19">
        <v>0.9997160435399906</v>
      </c>
      <c r="G361" s="15">
        <v>0.0</v>
      </c>
      <c r="H361" s="15">
        <v>0.0</v>
      </c>
      <c r="I361" s="15">
        <v>1.0</v>
      </c>
      <c r="J361" s="15">
        <v>0.0</v>
      </c>
      <c r="K361" s="15">
        <v>0.0</v>
      </c>
      <c r="L361" s="17"/>
      <c r="M361" s="20" t="s">
        <v>1747</v>
      </c>
    </row>
    <row r="362" ht="15.75" customHeight="1">
      <c r="A362" s="14" t="s">
        <v>97</v>
      </c>
      <c r="B362" s="15">
        <v>244.0</v>
      </c>
      <c r="C362" s="17" t="s">
        <v>1855</v>
      </c>
      <c r="D362" s="16" t="s">
        <v>68</v>
      </c>
      <c r="E362" s="15">
        <v>10562.0</v>
      </c>
      <c r="F362" s="19">
        <v>0.9997160435399906</v>
      </c>
      <c r="G362" s="15">
        <v>0.0</v>
      </c>
      <c r="H362" s="15">
        <v>0.0</v>
      </c>
      <c r="I362" s="15">
        <v>1.0</v>
      </c>
      <c r="J362" s="15">
        <v>0.0</v>
      </c>
      <c r="K362" s="15">
        <v>0.0</v>
      </c>
      <c r="L362" s="17"/>
      <c r="M362" s="20" t="s">
        <v>1214</v>
      </c>
    </row>
    <row r="363" ht="15.75" customHeight="1">
      <c r="A363" s="14" t="s">
        <v>97</v>
      </c>
      <c r="B363" s="15">
        <v>245.0</v>
      </c>
      <c r="C363" s="17" t="s">
        <v>1741</v>
      </c>
      <c r="D363" s="16" t="s">
        <v>66</v>
      </c>
      <c r="E363" s="15">
        <v>10564.0</v>
      </c>
      <c r="F363" s="19">
        <v>0.9999053478466635</v>
      </c>
      <c r="G363" s="15">
        <v>0.0</v>
      </c>
      <c r="H363" s="15">
        <v>0.0</v>
      </c>
      <c r="I363" s="15">
        <v>1.0</v>
      </c>
      <c r="J363" s="15">
        <v>0.0</v>
      </c>
      <c r="K363" s="15">
        <v>0.0</v>
      </c>
      <c r="L363" s="17"/>
      <c r="M363" s="20" t="s">
        <v>1859</v>
      </c>
    </row>
    <row r="364" ht="15.75" customHeight="1">
      <c r="A364" s="14" t="s">
        <v>97</v>
      </c>
      <c r="B364" s="15">
        <v>246.0</v>
      </c>
      <c r="C364" s="17" t="s">
        <v>1861</v>
      </c>
      <c r="D364" s="16" t="s">
        <v>68</v>
      </c>
      <c r="E364" s="15">
        <v>10564.0</v>
      </c>
      <c r="F364" s="19">
        <v>0.9999053478466635</v>
      </c>
      <c r="G364" s="15">
        <v>0.0</v>
      </c>
      <c r="H364" s="15">
        <v>0.0</v>
      </c>
      <c r="I364" s="15">
        <v>1.0</v>
      </c>
      <c r="J364" s="15">
        <v>0.0</v>
      </c>
      <c r="K364" s="15">
        <v>0.0</v>
      </c>
      <c r="L364" s="17"/>
      <c r="M364" s="20" t="s">
        <v>1747</v>
      </c>
    </row>
    <row r="365" ht="15.75" customHeight="1">
      <c r="A365" s="14" t="s">
        <v>97</v>
      </c>
      <c r="B365" s="15">
        <v>247.0</v>
      </c>
      <c r="C365" s="17" t="s">
        <v>1862</v>
      </c>
      <c r="D365" s="16" t="s">
        <v>68</v>
      </c>
      <c r="E365" s="15">
        <v>10564.0</v>
      </c>
      <c r="F365" s="19">
        <v>0.9999053478466635</v>
      </c>
      <c r="G365" s="15">
        <v>0.0</v>
      </c>
      <c r="H365" s="15">
        <v>0.0</v>
      </c>
      <c r="I365" s="15">
        <v>1.0</v>
      </c>
      <c r="J365" s="15">
        <v>0.0</v>
      </c>
      <c r="K365" s="15">
        <v>0.0</v>
      </c>
      <c r="L365" s="17"/>
      <c r="M365" s="20" t="s">
        <v>1214</v>
      </c>
    </row>
    <row r="366" ht="15.75" customHeight="1">
      <c r="A366" s="14" t="s">
        <v>97</v>
      </c>
      <c r="B366" s="15">
        <v>248.0</v>
      </c>
      <c r="C366" s="17" t="s">
        <v>1863</v>
      </c>
      <c r="D366" s="16" t="s">
        <v>66</v>
      </c>
      <c r="E366" s="15">
        <v>10564.0</v>
      </c>
      <c r="F366" s="19">
        <v>0.9999053478466635</v>
      </c>
      <c r="G366" s="15">
        <v>0.0</v>
      </c>
      <c r="H366" s="15">
        <v>0.0</v>
      </c>
      <c r="I366" s="15">
        <v>1.0</v>
      </c>
      <c r="J366" s="15">
        <v>0.0</v>
      </c>
      <c r="K366" s="15">
        <v>0.0</v>
      </c>
      <c r="L366" s="17"/>
      <c r="M366" s="20" t="s">
        <v>1864</v>
      </c>
    </row>
    <row r="367" ht="15.75" customHeight="1">
      <c r="A367" s="14" t="s">
        <v>97</v>
      </c>
      <c r="B367" s="15">
        <v>249.0</v>
      </c>
      <c r="C367" s="17" t="s">
        <v>1866</v>
      </c>
      <c r="D367" s="16" t="s">
        <v>68</v>
      </c>
      <c r="E367" s="15">
        <v>10564.0</v>
      </c>
      <c r="F367" s="19">
        <v>0.9999053478466635</v>
      </c>
      <c r="G367" s="15">
        <v>0.0</v>
      </c>
      <c r="H367" s="15">
        <v>0.0</v>
      </c>
      <c r="I367" s="15">
        <v>1.0</v>
      </c>
      <c r="J367" s="15">
        <v>0.0</v>
      </c>
      <c r="K367" s="15">
        <v>0.0</v>
      </c>
      <c r="L367" s="17"/>
      <c r="M367" s="20" t="s">
        <v>1222</v>
      </c>
    </row>
    <row r="368" ht="15.75" customHeight="1">
      <c r="A368" s="14" t="s">
        <v>97</v>
      </c>
      <c r="B368" s="15">
        <v>250.0</v>
      </c>
      <c r="C368" s="17" t="s">
        <v>1867</v>
      </c>
      <c r="D368" s="16" t="s">
        <v>68</v>
      </c>
      <c r="E368" s="15">
        <v>10564.0</v>
      </c>
      <c r="F368" s="19">
        <v>0.9999053478466635</v>
      </c>
      <c r="G368" s="15">
        <v>0.0</v>
      </c>
      <c r="H368" s="15">
        <v>0.0</v>
      </c>
      <c r="I368" s="15">
        <v>1.0</v>
      </c>
      <c r="J368" s="15">
        <v>0.0</v>
      </c>
      <c r="K368" s="15">
        <v>0.0</v>
      </c>
      <c r="L368" s="17"/>
      <c r="M368" s="20" t="s">
        <v>1214</v>
      </c>
    </row>
    <row r="369" ht="15.75" customHeight="1">
      <c r="A369" s="14" t="s">
        <v>97</v>
      </c>
      <c r="B369" s="15">
        <v>251.0</v>
      </c>
      <c r="C369" s="17" t="s">
        <v>630</v>
      </c>
      <c r="D369" s="16" t="s">
        <v>458</v>
      </c>
      <c r="E369" s="15">
        <v>7360.0</v>
      </c>
      <c r="F369" s="19">
        <v>0.6966398485565547</v>
      </c>
      <c r="G369" s="15">
        <v>0.0</v>
      </c>
      <c r="H369" s="15">
        <v>0.0</v>
      </c>
      <c r="I369" s="15">
        <v>2969.0</v>
      </c>
      <c r="J369" s="15">
        <v>0.0</v>
      </c>
      <c r="K369" s="15">
        <v>0.0</v>
      </c>
      <c r="L369" s="17"/>
      <c r="M369" s="20" t="s">
        <v>1869</v>
      </c>
    </row>
    <row r="370" ht="15.75" customHeight="1">
      <c r="A370" s="14" t="s">
        <v>97</v>
      </c>
      <c r="B370" s="15">
        <v>252.0</v>
      </c>
      <c r="C370" s="17" t="s">
        <v>635</v>
      </c>
      <c r="D370" s="16" t="s">
        <v>458</v>
      </c>
      <c r="E370" s="15">
        <v>10379.0</v>
      </c>
      <c r="F370" s="19">
        <v>0.9823946994794132</v>
      </c>
      <c r="G370" s="15">
        <v>0.0</v>
      </c>
      <c r="H370" s="15">
        <v>0.0</v>
      </c>
      <c r="I370" s="15">
        <v>180.0</v>
      </c>
      <c r="J370" s="15">
        <v>0.0</v>
      </c>
      <c r="K370" s="15">
        <v>0.0</v>
      </c>
      <c r="L370" s="17"/>
      <c r="M370" s="20" t="s">
        <v>1872</v>
      </c>
    </row>
    <row r="371" ht="15.75" customHeight="1">
      <c r="A371" s="14" t="s">
        <v>97</v>
      </c>
      <c r="B371" s="15">
        <v>253.0</v>
      </c>
      <c r="C371" s="17" t="s">
        <v>641</v>
      </c>
      <c r="D371" s="16" t="s">
        <v>458</v>
      </c>
      <c r="E371" s="15">
        <v>10482.0</v>
      </c>
      <c r="F371" s="19">
        <v>0.9921438712730715</v>
      </c>
      <c r="G371" s="15">
        <v>0.0</v>
      </c>
      <c r="H371" s="15">
        <v>0.0</v>
      </c>
      <c r="I371" s="15">
        <v>82.0</v>
      </c>
      <c r="J371" s="15">
        <v>0.0</v>
      </c>
      <c r="K371" s="15">
        <v>0.0</v>
      </c>
      <c r="L371" s="17"/>
      <c r="M371" s="20" t="s">
        <v>1874</v>
      </c>
    </row>
    <row r="372" ht="15.75" customHeight="1">
      <c r="A372" s="14" t="s">
        <v>97</v>
      </c>
      <c r="B372" s="15">
        <v>254.0</v>
      </c>
      <c r="C372" s="17" t="s">
        <v>1876</v>
      </c>
      <c r="D372" s="16" t="s">
        <v>458</v>
      </c>
      <c r="E372" s="15">
        <v>10552.0</v>
      </c>
      <c r="F372" s="19">
        <v>0.9987695220066256</v>
      </c>
      <c r="G372" s="15">
        <v>0.0</v>
      </c>
      <c r="H372" s="15">
        <v>0.0</v>
      </c>
      <c r="I372" s="15">
        <v>13.0</v>
      </c>
      <c r="J372" s="15">
        <v>0.0</v>
      </c>
      <c r="K372" s="15">
        <v>0.0</v>
      </c>
      <c r="L372" s="17"/>
      <c r="M372" s="20" t="s">
        <v>1877</v>
      </c>
    </row>
    <row r="373" ht="15.75" customHeight="1">
      <c r="A373" s="14" t="s">
        <v>97</v>
      </c>
      <c r="B373" s="15">
        <v>255.0</v>
      </c>
      <c r="C373" s="17" t="s">
        <v>396</v>
      </c>
      <c r="D373" s="16" t="s">
        <v>68</v>
      </c>
      <c r="E373" s="15">
        <v>7417.0</v>
      </c>
      <c r="F373" s="19">
        <v>0.7020350212967345</v>
      </c>
      <c r="G373" s="15">
        <v>0.0</v>
      </c>
      <c r="H373" s="15">
        <v>0.0</v>
      </c>
      <c r="I373" s="15">
        <v>2904.0</v>
      </c>
      <c r="J373" s="15">
        <v>24.0</v>
      </c>
      <c r="K373" s="15">
        <v>252.0</v>
      </c>
      <c r="L373" s="17"/>
      <c r="M373" s="20" t="s">
        <v>1879</v>
      </c>
    </row>
    <row r="374" ht="15.75" customHeight="1">
      <c r="A374" s="14" t="s">
        <v>97</v>
      </c>
      <c r="B374" s="15">
        <v>256.0</v>
      </c>
      <c r="C374" s="17" t="s">
        <v>1285</v>
      </c>
      <c r="D374" s="16" t="s">
        <v>68</v>
      </c>
      <c r="E374" s="15">
        <v>7417.0</v>
      </c>
      <c r="F374" s="19">
        <v>0.7020350212967345</v>
      </c>
      <c r="G374" s="15">
        <v>3010.0</v>
      </c>
      <c r="H374" s="15">
        <v>0.0</v>
      </c>
      <c r="I374" s="15">
        <v>10.0</v>
      </c>
      <c r="J374" s="15">
        <v>12.0</v>
      </c>
      <c r="K374" s="15">
        <v>0.0</v>
      </c>
      <c r="L374" s="17"/>
      <c r="M374" s="20" t="s">
        <v>1881</v>
      </c>
    </row>
    <row r="375" ht="15.75" customHeight="1">
      <c r="A375" s="14" t="s">
        <v>97</v>
      </c>
      <c r="B375" s="15">
        <v>257.0</v>
      </c>
      <c r="C375" s="17" t="s">
        <v>1492</v>
      </c>
      <c r="D375" s="16" t="s">
        <v>68</v>
      </c>
      <c r="E375" s="15">
        <v>10546.0</v>
      </c>
      <c r="F375" s="19">
        <v>0.9982016090866067</v>
      </c>
      <c r="G375" s="15">
        <v>0.0</v>
      </c>
      <c r="H375" s="15">
        <v>0.0</v>
      </c>
      <c r="I375" s="15">
        <v>19.0</v>
      </c>
      <c r="J375" s="15">
        <v>0.0</v>
      </c>
      <c r="K375" s="15">
        <v>2.0</v>
      </c>
      <c r="L375" s="17"/>
      <c r="M375" s="20" t="s">
        <v>1882</v>
      </c>
    </row>
    <row r="376" ht="15.75" customHeight="1">
      <c r="A376" s="14" t="s">
        <v>97</v>
      </c>
      <c r="B376" s="15">
        <v>258.0</v>
      </c>
      <c r="C376" s="17" t="s">
        <v>1883</v>
      </c>
      <c r="D376" s="16" t="s">
        <v>138</v>
      </c>
      <c r="E376" s="15">
        <v>7417.0</v>
      </c>
      <c r="F376" s="19">
        <v>0.7020350212967345</v>
      </c>
      <c r="G376" s="15">
        <v>0.0</v>
      </c>
      <c r="H376" s="15">
        <v>0.0</v>
      </c>
      <c r="I376" s="15">
        <v>3.0</v>
      </c>
      <c r="J376" s="15">
        <v>0.0</v>
      </c>
      <c r="K376" s="15">
        <v>0.0</v>
      </c>
      <c r="L376" s="17"/>
      <c r="M376" s="20" t="s">
        <v>1884</v>
      </c>
    </row>
    <row r="377" ht="15.75" customHeight="1">
      <c r="A377" s="14" t="s">
        <v>97</v>
      </c>
      <c r="B377" s="15">
        <v>259.0</v>
      </c>
      <c r="C377" s="17" t="s">
        <v>1885</v>
      </c>
      <c r="D377" s="16" t="s">
        <v>357</v>
      </c>
      <c r="E377" s="15">
        <v>7417.0</v>
      </c>
      <c r="F377" s="19">
        <v>0.7020350212967345</v>
      </c>
      <c r="G377" s="15">
        <v>0.0</v>
      </c>
      <c r="H377" s="15">
        <v>0.0</v>
      </c>
      <c r="I377" s="15">
        <v>2.0</v>
      </c>
      <c r="J377" s="15">
        <v>0.0</v>
      </c>
      <c r="K377" s="15">
        <v>0.0</v>
      </c>
      <c r="L377" s="17"/>
      <c r="M377" s="20" t="s">
        <v>930</v>
      </c>
    </row>
    <row r="378" ht="15.75" customHeight="1">
      <c r="A378" s="14" t="s">
        <v>97</v>
      </c>
      <c r="B378" s="15">
        <v>260.0</v>
      </c>
      <c r="C378" s="17" t="s">
        <v>1886</v>
      </c>
      <c r="D378" s="16" t="s">
        <v>357</v>
      </c>
      <c r="E378" s="15">
        <v>7417.0</v>
      </c>
      <c r="F378" s="19">
        <v>0.7020350212967345</v>
      </c>
      <c r="G378" s="15">
        <v>0.0</v>
      </c>
      <c r="H378" s="15">
        <v>0.0</v>
      </c>
      <c r="I378" s="15">
        <v>1.0</v>
      </c>
      <c r="J378" s="15">
        <v>0.0</v>
      </c>
      <c r="K378" s="15">
        <v>0.0</v>
      </c>
      <c r="L378" s="17"/>
      <c r="M378" s="20" t="s">
        <v>75</v>
      </c>
    </row>
    <row r="379" ht="15.75" customHeight="1">
      <c r="A379" s="14" t="s">
        <v>97</v>
      </c>
      <c r="B379" s="15">
        <v>261.0</v>
      </c>
      <c r="C379" s="17" t="s">
        <v>1295</v>
      </c>
      <c r="D379" s="16" t="s">
        <v>68</v>
      </c>
      <c r="E379" s="15">
        <v>7607.0</v>
      </c>
      <c r="F379" s="19">
        <v>0.7200189304306673</v>
      </c>
      <c r="G379" s="15">
        <v>0.0</v>
      </c>
      <c r="H379" s="15">
        <v>0.0</v>
      </c>
      <c r="I379" s="15">
        <v>11.0</v>
      </c>
      <c r="J379" s="15">
        <v>34.0</v>
      </c>
      <c r="K379" s="15">
        <v>0.0</v>
      </c>
      <c r="L379" s="17"/>
      <c r="M379" s="20" t="s">
        <v>1628</v>
      </c>
    </row>
    <row r="380" ht="15.75" customHeight="1">
      <c r="A380" s="14" t="s">
        <v>97</v>
      </c>
      <c r="B380" s="15">
        <v>262.0</v>
      </c>
      <c r="C380" s="17" t="s">
        <v>1887</v>
      </c>
      <c r="D380" s="16" t="s">
        <v>458</v>
      </c>
      <c r="E380" s="15">
        <v>10556.0</v>
      </c>
      <c r="F380" s="19">
        <v>0.9991481306199717</v>
      </c>
      <c r="G380" s="15">
        <v>0.0</v>
      </c>
      <c r="H380" s="15">
        <v>0.0</v>
      </c>
      <c r="I380" s="15">
        <v>9.0</v>
      </c>
      <c r="J380" s="15">
        <v>0.0</v>
      </c>
      <c r="K380" s="15">
        <v>0.0</v>
      </c>
      <c r="L380" s="17"/>
      <c r="M380" s="20" t="s">
        <v>1888</v>
      </c>
    </row>
    <row r="381" ht="15.75" customHeight="1">
      <c r="A381" s="14" t="s">
        <v>97</v>
      </c>
      <c r="B381" s="15">
        <v>263.0</v>
      </c>
      <c r="C381" s="17" t="s">
        <v>908</v>
      </c>
      <c r="D381" s="16" t="s">
        <v>68</v>
      </c>
      <c r="E381" s="15">
        <v>7558.0</v>
      </c>
      <c r="F381" s="19">
        <v>0.7153809749171793</v>
      </c>
      <c r="G381" s="15">
        <v>0.0</v>
      </c>
      <c r="H381" s="15">
        <v>0.0</v>
      </c>
      <c r="I381" s="15">
        <v>2796.0</v>
      </c>
      <c r="J381" s="15">
        <v>0.0</v>
      </c>
      <c r="K381" s="15">
        <v>3.0</v>
      </c>
      <c r="L381" s="17"/>
      <c r="M381" s="20" t="s">
        <v>1889</v>
      </c>
    </row>
    <row r="382" ht="15.75" customHeight="1">
      <c r="A382" s="14" t="s">
        <v>97</v>
      </c>
      <c r="B382" s="15">
        <v>264.0</v>
      </c>
      <c r="C382" s="17" t="s">
        <v>1241</v>
      </c>
      <c r="D382" s="16" t="s">
        <v>68</v>
      </c>
      <c r="E382" s="15">
        <v>7558.0</v>
      </c>
      <c r="F382" s="19">
        <v>0.7153809749171793</v>
      </c>
      <c r="G382" s="15">
        <v>2856.0</v>
      </c>
      <c r="H382" s="15">
        <v>0.0</v>
      </c>
      <c r="I382" s="15">
        <v>10.0</v>
      </c>
      <c r="J382" s="15">
        <v>18.0</v>
      </c>
      <c r="K382" s="15">
        <v>0.0</v>
      </c>
      <c r="L382" s="17"/>
      <c r="M382" s="20" t="s">
        <v>1811</v>
      </c>
    </row>
    <row r="383" ht="15.75" customHeight="1">
      <c r="A383" s="14" t="s">
        <v>97</v>
      </c>
      <c r="B383" s="15">
        <v>265.0</v>
      </c>
      <c r="C383" s="17" t="s">
        <v>1237</v>
      </c>
      <c r="D383" s="16" t="s">
        <v>68</v>
      </c>
      <c r="E383" s="15">
        <v>7558.0</v>
      </c>
      <c r="F383" s="19">
        <v>0.7153809749171793</v>
      </c>
      <c r="G383" s="15">
        <v>0.0</v>
      </c>
      <c r="H383" s="15">
        <v>0.0</v>
      </c>
      <c r="I383" s="15">
        <v>6.0</v>
      </c>
      <c r="J383" s="15">
        <v>2.0</v>
      </c>
      <c r="K383" s="15">
        <v>0.0</v>
      </c>
      <c r="L383" s="17"/>
      <c r="M383" s="20" t="s">
        <v>1891</v>
      </c>
    </row>
    <row r="384" ht="15.75" customHeight="1">
      <c r="A384" s="14" t="s">
        <v>97</v>
      </c>
      <c r="B384" s="15">
        <v>266.0</v>
      </c>
      <c r="C384" s="17" t="s">
        <v>1238</v>
      </c>
      <c r="D384" s="16" t="s">
        <v>68</v>
      </c>
      <c r="E384" s="15">
        <v>7803.0</v>
      </c>
      <c r="F384" s="19">
        <v>0.738570752484619</v>
      </c>
      <c r="G384" s="15">
        <v>0.0</v>
      </c>
      <c r="H384" s="15">
        <v>0.0</v>
      </c>
      <c r="I384" s="15">
        <v>5.0</v>
      </c>
      <c r="J384" s="15">
        <v>25.0</v>
      </c>
      <c r="K384" s="15">
        <v>0.0</v>
      </c>
      <c r="L384" s="17"/>
      <c r="M384" s="20" t="s">
        <v>1892</v>
      </c>
    </row>
    <row r="385" ht="15.75" customHeight="1">
      <c r="A385" s="14" t="s">
        <v>97</v>
      </c>
      <c r="B385" s="15">
        <v>267.0</v>
      </c>
      <c r="C385" s="17" t="s">
        <v>913</v>
      </c>
      <c r="D385" s="16" t="s">
        <v>68</v>
      </c>
      <c r="E385" s="15">
        <v>10371.0</v>
      </c>
      <c r="F385" s="19">
        <v>0.9816374822527213</v>
      </c>
      <c r="G385" s="15">
        <v>0.0</v>
      </c>
      <c r="H385" s="15">
        <v>0.0</v>
      </c>
      <c r="I385" s="15">
        <v>191.0</v>
      </c>
      <c r="J385" s="15">
        <v>0.0</v>
      </c>
      <c r="K385" s="15">
        <v>1.0</v>
      </c>
      <c r="L385" s="17"/>
      <c r="M385" s="20" t="s">
        <v>1893</v>
      </c>
    </row>
    <row r="386" ht="15.75" customHeight="1">
      <c r="A386" s="14" t="s">
        <v>97</v>
      </c>
      <c r="B386" s="15">
        <v>268.0</v>
      </c>
      <c r="C386" s="17" t="s">
        <v>1248</v>
      </c>
      <c r="D386" s="16" t="s">
        <v>68</v>
      </c>
      <c r="E386" s="15">
        <v>10371.0</v>
      </c>
      <c r="F386" s="19">
        <v>0.9816374822527213</v>
      </c>
      <c r="G386" s="15">
        <v>84.0</v>
      </c>
      <c r="H386" s="15">
        <v>0.0</v>
      </c>
      <c r="I386" s="15">
        <v>8.0</v>
      </c>
      <c r="J386" s="15">
        <v>14.0</v>
      </c>
      <c r="K386" s="15">
        <v>0.0</v>
      </c>
      <c r="L386" s="17"/>
      <c r="M386" s="20" t="s">
        <v>1895</v>
      </c>
    </row>
    <row r="387" ht="15.75" customHeight="1">
      <c r="A387" s="14" t="s">
        <v>97</v>
      </c>
      <c r="B387" s="15">
        <v>269.0</v>
      </c>
      <c r="C387" s="17" t="s">
        <v>1243</v>
      </c>
      <c r="D387" s="16" t="s">
        <v>68</v>
      </c>
      <c r="E387" s="15">
        <v>10371.0</v>
      </c>
      <c r="F387" s="19">
        <v>0.9816374822527213</v>
      </c>
      <c r="G387" s="15">
        <v>0.0</v>
      </c>
      <c r="H387" s="15">
        <v>0.0</v>
      </c>
      <c r="I387" s="15">
        <v>5.0</v>
      </c>
      <c r="J387" s="15">
        <v>1.0</v>
      </c>
      <c r="K387" s="15">
        <v>0.0</v>
      </c>
      <c r="L387" s="17"/>
      <c r="M387" s="20" t="s">
        <v>1812</v>
      </c>
    </row>
    <row r="388" ht="15.75" customHeight="1">
      <c r="A388" s="14" t="s">
        <v>97</v>
      </c>
      <c r="B388" s="15">
        <v>270.0</v>
      </c>
      <c r="C388" s="17" t="s">
        <v>1245</v>
      </c>
      <c r="D388" s="16" t="s">
        <v>68</v>
      </c>
      <c r="E388" s="15">
        <v>10436.0</v>
      </c>
      <c r="F388" s="19">
        <v>0.987789872219593</v>
      </c>
      <c r="G388" s="15">
        <v>0.0</v>
      </c>
      <c r="H388" s="15">
        <v>0.0</v>
      </c>
      <c r="I388" s="15">
        <v>4.0</v>
      </c>
      <c r="J388" s="15">
        <v>24.0</v>
      </c>
      <c r="K388" s="15">
        <v>0.0</v>
      </c>
      <c r="L388" s="17"/>
      <c r="M388" s="20" t="s">
        <v>1896</v>
      </c>
    </row>
    <row r="389" ht="15.75" customHeight="1">
      <c r="A389" s="14" t="s">
        <v>97</v>
      </c>
      <c r="B389" s="15">
        <v>271.0</v>
      </c>
      <c r="C389" s="17" t="s">
        <v>1748</v>
      </c>
      <c r="D389" s="16" t="s">
        <v>68</v>
      </c>
      <c r="E389" s="15">
        <v>10464.0</v>
      </c>
      <c r="F389" s="19">
        <v>0.9904401325130147</v>
      </c>
      <c r="G389" s="15">
        <v>0.0</v>
      </c>
      <c r="H389" s="15">
        <v>0.0</v>
      </c>
      <c r="I389" s="15">
        <v>100.0</v>
      </c>
      <c r="J389" s="15">
        <v>0.0</v>
      </c>
      <c r="K389" s="15">
        <v>0.0</v>
      </c>
      <c r="L389" s="17"/>
      <c r="M389" s="20" t="s">
        <v>1897</v>
      </c>
    </row>
    <row r="390" ht="15.75" customHeight="1">
      <c r="A390" s="14" t="s">
        <v>97</v>
      </c>
      <c r="B390" s="15">
        <v>272.0</v>
      </c>
      <c r="C390" s="17" t="s">
        <v>1262</v>
      </c>
      <c r="D390" s="16" t="s">
        <v>68</v>
      </c>
      <c r="E390" s="15">
        <v>10464.0</v>
      </c>
      <c r="F390" s="19">
        <v>0.9904401325130147</v>
      </c>
      <c r="G390" s="15">
        <v>12.0</v>
      </c>
      <c r="H390" s="15">
        <v>0.0</v>
      </c>
      <c r="I390" s="15">
        <v>6.0</v>
      </c>
      <c r="J390" s="15">
        <v>10.0</v>
      </c>
      <c r="K390" s="15">
        <v>0.0</v>
      </c>
      <c r="L390" s="17"/>
      <c r="M390" s="20" t="s">
        <v>1695</v>
      </c>
    </row>
    <row r="391" ht="15.75" customHeight="1">
      <c r="A391" s="14" t="s">
        <v>97</v>
      </c>
      <c r="B391" s="15">
        <v>273.0</v>
      </c>
      <c r="C391" s="17" t="s">
        <v>1249</v>
      </c>
      <c r="D391" s="16" t="s">
        <v>68</v>
      </c>
      <c r="E391" s="15">
        <v>10464.0</v>
      </c>
      <c r="F391" s="19">
        <v>0.9904401325130147</v>
      </c>
      <c r="G391" s="15">
        <v>0.0</v>
      </c>
      <c r="H391" s="15">
        <v>0.0</v>
      </c>
      <c r="I391" s="15">
        <v>5.0</v>
      </c>
      <c r="J391" s="15">
        <v>1.0</v>
      </c>
      <c r="K391" s="15">
        <v>0.0</v>
      </c>
      <c r="L391" s="17"/>
      <c r="M391" s="20" t="s">
        <v>1812</v>
      </c>
    </row>
    <row r="392" ht="15.75" customHeight="1">
      <c r="A392" s="14" t="s">
        <v>97</v>
      </c>
      <c r="B392" s="15">
        <v>274.0</v>
      </c>
      <c r="C392" s="17" t="s">
        <v>1254</v>
      </c>
      <c r="D392" s="16" t="s">
        <v>68</v>
      </c>
      <c r="E392" s="15">
        <v>10510.0</v>
      </c>
      <c r="F392" s="19">
        <v>0.9947941315664931</v>
      </c>
      <c r="G392" s="15">
        <v>0.0</v>
      </c>
      <c r="H392" s="15">
        <v>0.0</v>
      </c>
      <c r="I392" s="15">
        <v>4.0</v>
      </c>
      <c r="J392" s="15">
        <v>22.0</v>
      </c>
      <c r="K392" s="15">
        <v>0.0</v>
      </c>
      <c r="L392" s="17"/>
      <c r="M392" s="20" t="s">
        <v>1896</v>
      </c>
    </row>
    <row r="393" ht="15.75" customHeight="1">
      <c r="A393" s="14" t="s">
        <v>97</v>
      </c>
      <c r="B393" s="15">
        <v>275.0</v>
      </c>
      <c r="C393" s="17" t="s">
        <v>1750</v>
      </c>
      <c r="D393" s="16" t="s">
        <v>68</v>
      </c>
      <c r="E393" s="15">
        <v>10503.0</v>
      </c>
      <c r="F393" s="19">
        <v>0.9941315664931377</v>
      </c>
      <c r="G393" s="15">
        <v>0.0</v>
      </c>
      <c r="H393" s="15">
        <v>0.0</v>
      </c>
      <c r="I393" s="15">
        <v>62.0</v>
      </c>
      <c r="J393" s="15">
        <v>0.0</v>
      </c>
      <c r="K393" s="15">
        <v>0.0</v>
      </c>
      <c r="L393" s="17"/>
      <c r="M393" s="20" t="s">
        <v>1901</v>
      </c>
    </row>
    <row r="394" ht="15.75" customHeight="1">
      <c r="A394" s="14" t="s">
        <v>97</v>
      </c>
      <c r="B394" s="15">
        <v>276.0</v>
      </c>
      <c r="C394" s="17" t="s">
        <v>1269</v>
      </c>
      <c r="D394" s="16" t="s">
        <v>68</v>
      </c>
      <c r="E394" s="15">
        <v>10503.0</v>
      </c>
      <c r="F394" s="19">
        <v>0.9941315664931377</v>
      </c>
      <c r="G394" s="15">
        <v>5.0</v>
      </c>
      <c r="H394" s="15">
        <v>0.0</v>
      </c>
      <c r="I394" s="15">
        <v>4.0</v>
      </c>
      <c r="J394" s="15">
        <v>7.0</v>
      </c>
      <c r="K394" s="15">
        <v>0.0</v>
      </c>
      <c r="L394" s="17"/>
      <c r="M394" s="20" t="s">
        <v>1905</v>
      </c>
    </row>
    <row r="395" ht="15.75" customHeight="1">
      <c r="A395" s="14" t="s">
        <v>97</v>
      </c>
      <c r="B395" s="15">
        <v>277.0</v>
      </c>
      <c r="C395" s="17" t="s">
        <v>1906</v>
      </c>
      <c r="D395" s="16" t="s">
        <v>68</v>
      </c>
      <c r="E395" s="15">
        <v>10503.0</v>
      </c>
      <c r="F395" s="19">
        <v>0.9941315664931377</v>
      </c>
      <c r="G395" s="15">
        <v>0.0</v>
      </c>
      <c r="H395" s="15">
        <v>0.0</v>
      </c>
      <c r="I395" s="15">
        <v>3.0</v>
      </c>
      <c r="J395" s="15">
        <v>0.0</v>
      </c>
      <c r="K395" s="15">
        <v>0.0</v>
      </c>
      <c r="L395" s="17"/>
      <c r="M395" s="20" t="s">
        <v>1044</v>
      </c>
    </row>
    <row r="396" ht="15.75" customHeight="1">
      <c r="A396" s="14" t="s">
        <v>97</v>
      </c>
      <c r="B396" s="15">
        <v>278.0</v>
      </c>
      <c r="C396" s="17" t="s">
        <v>1265</v>
      </c>
      <c r="D396" s="16" t="s">
        <v>68</v>
      </c>
      <c r="E396" s="15">
        <v>10521.0</v>
      </c>
      <c r="F396" s="19">
        <v>0.9958353052531945</v>
      </c>
      <c r="G396" s="15">
        <v>0.0</v>
      </c>
      <c r="H396" s="15">
        <v>0.0</v>
      </c>
      <c r="I396" s="15">
        <v>3.0</v>
      </c>
      <c r="J396" s="15">
        <v>18.0</v>
      </c>
      <c r="K396" s="15">
        <v>0.0</v>
      </c>
      <c r="L396" s="17"/>
      <c r="M396" s="20" t="s">
        <v>1908</v>
      </c>
    </row>
    <row r="397" ht="15.75" customHeight="1">
      <c r="A397" s="14" t="s">
        <v>97</v>
      </c>
      <c r="B397" s="15">
        <v>279.0</v>
      </c>
      <c r="C397" s="17" t="s">
        <v>1751</v>
      </c>
      <c r="D397" s="16" t="s">
        <v>68</v>
      </c>
      <c r="E397" s="15">
        <v>10518.0</v>
      </c>
      <c r="F397" s="19">
        <v>0.9955513487931851</v>
      </c>
      <c r="G397" s="15">
        <v>0.0</v>
      </c>
      <c r="H397" s="15">
        <v>0.0</v>
      </c>
      <c r="I397" s="15">
        <v>47.0</v>
      </c>
      <c r="J397" s="15">
        <v>0.0</v>
      </c>
      <c r="K397" s="15">
        <v>0.0</v>
      </c>
      <c r="L397" s="17"/>
      <c r="M397" s="20" t="s">
        <v>1910</v>
      </c>
    </row>
    <row r="398" ht="15.75" customHeight="1">
      <c r="A398" s="14" t="s">
        <v>97</v>
      </c>
      <c r="B398" s="15">
        <v>280.0</v>
      </c>
      <c r="C398" s="17" t="s">
        <v>1279</v>
      </c>
      <c r="D398" s="16" t="s">
        <v>68</v>
      </c>
      <c r="E398" s="15">
        <v>10518.0</v>
      </c>
      <c r="F398" s="19">
        <v>0.9955513487931851</v>
      </c>
      <c r="G398" s="15">
        <v>7.0</v>
      </c>
      <c r="H398" s="15">
        <v>0.0</v>
      </c>
      <c r="I398" s="15">
        <v>5.0</v>
      </c>
      <c r="J398" s="15">
        <v>7.0</v>
      </c>
      <c r="K398" s="15">
        <v>0.0</v>
      </c>
      <c r="L398" s="17"/>
      <c r="M398" s="20" t="s">
        <v>1912</v>
      </c>
    </row>
    <row r="399" ht="15.75" customHeight="1">
      <c r="A399" s="14" t="s">
        <v>97</v>
      </c>
      <c r="B399" s="15">
        <v>281.0</v>
      </c>
      <c r="C399" s="17" t="s">
        <v>1915</v>
      </c>
      <c r="D399" s="16" t="s">
        <v>68</v>
      </c>
      <c r="E399" s="15">
        <v>10518.0</v>
      </c>
      <c r="F399" s="19">
        <v>0.9955513487931851</v>
      </c>
      <c r="G399" s="15">
        <v>0.0</v>
      </c>
      <c r="H399" s="15">
        <v>0.0</v>
      </c>
      <c r="I399" s="15">
        <v>3.0</v>
      </c>
      <c r="J399" s="15">
        <v>0.0</v>
      </c>
      <c r="K399" s="15">
        <v>0.0</v>
      </c>
      <c r="L399" s="17"/>
      <c r="M399" s="20" t="s">
        <v>1044</v>
      </c>
    </row>
    <row r="400" ht="15.75" customHeight="1">
      <c r="A400" s="14" t="s">
        <v>97</v>
      </c>
      <c r="B400" s="15">
        <v>282.0</v>
      </c>
      <c r="C400" s="17" t="s">
        <v>1274</v>
      </c>
      <c r="D400" s="16" t="s">
        <v>68</v>
      </c>
      <c r="E400" s="15">
        <v>10530.0</v>
      </c>
      <c r="F400" s="19">
        <v>0.9966871746332229</v>
      </c>
      <c r="G400" s="15">
        <v>0.0</v>
      </c>
      <c r="H400" s="15">
        <v>0.0</v>
      </c>
      <c r="I400" s="15">
        <v>3.0</v>
      </c>
      <c r="J400" s="15">
        <v>14.0</v>
      </c>
      <c r="K400" s="15">
        <v>0.0</v>
      </c>
      <c r="L400" s="17"/>
      <c r="M400" s="20" t="s">
        <v>1908</v>
      </c>
    </row>
    <row r="401" ht="15.75" customHeight="1">
      <c r="A401" s="14" t="s">
        <v>97</v>
      </c>
      <c r="B401" s="15">
        <v>283.0</v>
      </c>
      <c r="C401" s="17" t="s">
        <v>1755</v>
      </c>
      <c r="D401" s="16" t="s">
        <v>68</v>
      </c>
      <c r="E401" s="15">
        <v>10561.0</v>
      </c>
      <c r="F401" s="19">
        <v>0.9996213913866541</v>
      </c>
      <c r="G401" s="15">
        <v>0.0</v>
      </c>
      <c r="H401" s="15">
        <v>0.0</v>
      </c>
      <c r="I401" s="15">
        <v>4.0</v>
      </c>
      <c r="J401" s="15">
        <v>0.0</v>
      </c>
      <c r="K401" s="15">
        <v>0.0</v>
      </c>
      <c r="L401" s="17"/>
      <c r="M401" s="20" t="s">
        <v>1917</v>
      </c>
    </row>
    <row r="402" ht="15.75" customHeight="1">
      <c r="A402" s="14" t="s">
        <v>97</v>
      </c>
      <c r="B402" s="15">
        <v>284.0</v>
      </c>
      <c r="C402" s="17" t="s">
        <v>1920</v>
      </c>
      <c r="D402" s="16" t="s">
        <v>68</v>
      </c>
      <c r="E402" s="15">
        <v>10561.0</v>
      </c>
      <c r="F402" s="19">
        <v>0.9996213913866541</v>
      </c>
      <c r="G402" s="15">
        <v>0.0</v>
      </c>
      <c r="H402" s="15">
        <v>0.0</v>
      </c>
      <c r="I402" s="15">
        <v>2.0</v>
      </c>
      <c r="J402" s="15">
        <v>0.0</v>
      </c>
      <c r="K402" s="15">
        <v>0.0</v>
      </c>
      <c r="L402" s="17"/>
      <c r="M402" s="20" t="s">
        <v>1159</v>
      </c>
    </row>
    <row r="403" ht="15.75" customHeight="1">
      <c r="A403" s="14" t="s">
        <v>97</v>
      </c>
      <c r="B403" s="15">
        <v>285.0</v>
      </c>
      <c r="C403" s="17" t="s">
        <v>1923</v>
      </c>
      <c r="D403" s="16" t="s">
        <v>68</v>
      </c>
      <c r="E403" s="15">
        <v>10561.0</v>
      </c>
      <c r="F403" s="19">
        <v>0.9996213913866541</v>
      </c>
      <c r="G403" s="15">
        <v>0.0</v>
      </c>
      <c r="H403" s="15">
        <v>0.0</v>
      </c>
      <c r="I403" s="15">
        <v>2.0</v>
      </c>
      <c r="J403" s="15">
        <v>0.0</v>
      </c>
      <c r="K403" s="15">
        <v>0.0</v>
      </c>
      <c r="L403" s="17"/>
      <c r="M403" s="20" t="s">
        <v>1167</v>
      </c>
    </row>
    <row r="404" ht="15.75" customHeight="1">
      <c r="A404" s="14" t="s">
        <v>97</v>
      </c>
      <c r="B404" s="15">
        <v>286.0</v>
      </c>
      <c r="C404" s="17" t="s">
        <v>1925</v>
      </c>
      <c r="D404" s="16" t="s">
        <v>68</v>
      </c>
      <c r="E404" s="15">
        <v>10563.0</v>
      </c>
      <c r="F404" s="19">
        <v>0.999810695693327</v>
      </c>
      <c r="G404" s="15">
        <v>0.0</v>
      </c>
      <c r="H404" s="15">
        <v>0.0</v>
      </c>
      <c r="I404" s="15">
        <v>2.0</v>
      </c>
      <c r="J404" s="15">
        <v>0.0</v>
      </c>
      <c r="K404" s="15">
        <v>0.0</v>
      </c>
      <c r="L404" s="17"/>
      <c r="M404" s="20" t="s">
        <v>1927</v>
      </c>
    </row>
    <row r="405" ht="15.75" customHeight="1">
      <c r="A405" s="14" t="s">
        <v>97</v>
      </c>
      <c r="B405" s="15">
        <v>287.0</v>
      </c>
      <c r="C405" s="17" t="s">
        <v>1930</v>
      </c>
      <c r="D405" s="16" t="s">
        <v>68</v>
      </c>
      <c r="E405" s="15">
        <v>10563.0</v>
      </c>
      <c r="F405" s="19">
        <v>0.999810695693327</v>
      </c>
      <c r="G405" s="15">
        <v>0.0</v>
      </c>
      <c r="H405" s="15">
        <v>0.0</v>
      </c>
      <c r="I405" s="15">
        <v>2.0</v>
      </c>
      <c r="J405" s="15">
        <v>0.0</v>
      </c>
      <c r="K405" s="15">
        <v>0.0</v>
      </c>
      <c r="L405" s="17"/>
      <c r="M405" s="20" t="s">
        <v>1210</v>
      </c>
    </row>
    <row r="406" ht="15.75" customHeight="1">
      <c r="A406" s="14" t="s">
        <v>97</v>
      </c>
      <c r="B406" s="15">
        <v>288.0</v>
      </c>
      <c r="C406" s="17" t="s">
        <v>1932</v>
      </c>
      <c r="D406" s="16" t="s">
        <v>68</v>
      </c>
      <c r="E406" s="15">
        <v>10563.0</v>
      </c>
      <c r="F406" s="19">
        <v>0.999810695693327</v>
      </c>
      <c r="G406" s="15">
        <v>0.0</v>
      </c>
      <c r="H406" s="15">
        <v>0.0</v>
      </c>
      <c r="I406" s="15">
        <v>2.0</v>
      </c>
      <c r="J406" s="15">
        <v>0.0</v>
      </c>
      <c r="K406" s="15">
        <v>0.0</v>
      </c>
      <c r="L406" s="17"/>
      <c r="M406" s="20" t="s">
        <v>1167</v>
      </c>
    </row>
    <row r="407" ht="15.75" customHeight="1">
      <c r="A407" s="14" t="s">
        <v>97</v>
      </c>
      <c r="B407" s="15">
        <v>289.0</v>
      </c>
      <c r="C407" s="17" t="s">
        <v>1933</v>
      </c>
      <c r="D407" s="16" t="s">
        <v>68</v>
      </c>
      <c r="E407" s="15">
        <v>10564.0</v>
      </c>
      <c r="F407" s="19">
        <v>0.9999053478466635</v>
      </c>
      <c r="G407" s="15">
        <v>0.0</v>
      </c>
      <c r="H407" s="15">
        <v>0.0</v>
      </c>
      <c r="I407" s="15">
        <v>1.0</v>
      </c>
      <c r="J407" s="15">
        <v>0.0</v>
      </c>
      <c r="K407" s="15">
        <v>0.0</v>
      </c>
      <c r="L407" s="17"/>
      <c r="M407" s="20" t="s">
        <v>1934</v>
      </c>
    </row>
    <row r="408" ht="15.75" customHeight="1">
      <c r="A408" s="14" t="s">
        <v>97</v>
      </c>
      <c r="B408" s="15">
        <v>290.0</v>
      </c>
      <c r="C408" s="17" t="s">
        <v>1936</v>
      </c>
      <c r="D408" s="16" t="s">
        <v>68</v>
      </c>
      <c r="E408" s="15">
        <v>10564.0</v>
      </c>
      <c r="F408" s="19">
        <v>0.9999053478466635</v>
      </c>
      <c r="G408" s="15">
        <v>0.0</v>
      </c>
      <c r="H408" s="15">
        <v>0.0</v>
      </c>
      <c r="I408" s="15">
        <v>1.0</v>
      </c>
      <c r="J408" s="15">
        <v>0.0</v>
      </c>
      <c r="K408" s="15">
        <v>0.0</v>
      </c>
      <c r="L408" s="17"/>
      <c r="M408" s="20" t="s">
        <v>1747</v>
      </c>
    </row>
    <row r="409" ht="15.75" customHeight="1">
      <c r="A409" s="14" t="s">
        <v>97</v>
      </c>
      <c r="B409" s="15">
        <v>291.0</v>
      </c>
      <c r="C409" s="17" t="s">
        <v>1937</v>
      </c>
      <c r="D409" s="16" t="s">
        <v>68</v>
      </c>
      <c r="E409" s="15">
        <v>10564.0</v>
      </c>
      <c r="F409" s="19">
        <v>0.9999053478466635</v>
      </c>
      <c r="G409" s="15">
        <v>0.0</v>
      </c>
      <c r="H409" s="15">
        <v>0.0</v>
      </c>
      <c r="I409" s="15">
        <v>1.0</v>
      </c>
      <c r="J409" s="15">
        <v>0.0</v>
      </c>
      <c r="K409" s="15">
        <v>0.0</v>
      </c>
      <c r="L409" s="17"/>
      <c r="M409" s="20" t="s">
        <v>1214</v>
      </c>
    </row>
    <row r="410" ht="15.75" customHeight="1">
      <c r="A410" s="14" t="s">
        <v>97</v>
      </c>
      <c r="B410" s="15">
        <v>292.0</v>
      </c>
      <c r="C410" s="17" t="s">
        <v>649</v>
      </c>
      <c r="D410" s="16" t="s">
        <v>458</v>
      </c>
      <c r="E410" s="15">
        <v>7704.0</v>
      </c>
      <c r="F410" s="19">
        <v>0.7292001893043066</v>
      </c>
      <c r="G410" s="15">
        <v>0.0</v>
      </c>
      <c r="H410" s="15">
        <v>0.0</v>
      </c>
      <c r="I410" s="15">
        <v>2651.0</v>
      </c>
      <c r="J410" s="15">
        <v>0.0</v>
      </c>
      <c r="K410" s="15">
        <v>0.0</v>
      </c>
      <c r="L410" s="17"/>
      <c r="M410" s="20" t="s">
        <v>1939</v>
      </c>
    </row>
    <row r="411" ht="15.75" customHeight="1">
      <c r="A411" s="14" t="s">
        <v>97</v>
      </c>
      <c r="B411" s="15">
        <v>293.0</v>
      </c>
      <c r="C411" s="17" t="s">
        <v>653</v>
      </c>
      <c r="D411" s="16" t="s">
        <v>458</v>
      </c>
      <c r="E411" s="15">
        <v>10443.0</v>
      </c>
      <c r="F411" s="19">
        <v>0.9884524372929484</v>
      </c>
      <c r="G411" s="15">
        <v>0.0</v>
      </c>
      <c r="H411" s="15">
        <v>0.0</v>
      </c>
      <c r="I411" s="15">
        <v>120.0</v>
      </c>
      <c r="J411" s="15">
        <v>0.0</v>
      </c>
      <c r="K411" s="15">
        <v>0.0</v>
      </c>
      <c r="L411" s="17"/>
      <c r="M411" s="20" t="s">
        <v>1942</v>
      </c>
    </row>
    <row r="412" ht="15.75" customHeight="1">
      <c r="A412" s="14" t="s">
        <v>97</v>
      </c>
      <c r="B412" s="15">
        <v>294.0</v>
      </c>
      <c r="C412" s="17" t="s">
        <v>657</v>
      </c>
      <c r="D412" s="16" t="s">
        <v>458</v>
      </c>
      <c r="E412" s="15">
        <v>10512.0</v>
      </c>
      <c r="F412" s="19">
        <v>0.9949834358731661</v>
      </c>
      <c r="G412" s="15">
        <v>0.0</v>
      </c>
      <c r="H412" s="15">
        <v>0.0</v>
      </c>
      <c r="I412" s="15">
        <v>52.0</v>
      </c>
      <c r="J412" s="15">
        <v>0.0</v>
      </c>
      <c r="K412" s="15">
        <v>0.0</v>
      </c>
      <c r="L412" s="17"/>
      <c r="M412" s="20" t="s">
        <v>1944</v>
      </c>
    </row>
    <row r="413" ht="15.75" customHeight="1">
      <c r="A413" s="14" t="s">
        <v>97</v>
      </c>
      <c r="B413" s="15">
        <v>295.0</v>
      </c>
      <c r="C413" s="17" t="s">
        <v>1946</v>
      </c>
      <c r="D413" s="16" t="s">
        <v>458</v>
      </c>
      <c r="E413" s="15">
        <v>10553.0</v>
      </c>
      <c r="F413" s="19">
        <v>0.9988641741599621</v>
      </c>
      <c r="G413" s="15">
        <v>0.0</v>
      </c>
      <c r="H413" s="15">
        <v>0.0</v>
      </c>
      <c r="I413" s="15">
        <v>12.0</v>
      </c>
      <c r="J413" s="15">
        <v>0.0</v>
      </c>
      <c r="K413" s="15">
        <v>0.0</v>
      </c>
      <c r="L413" s="17"/>
      <c r="M413" s="20" t="s">
        <v>1947</v>
      </c>
    </row>
    <row r="414" ht="15.75" customHeight="1">
      <c r="A414" s="14" t="s">
        <v>97</v>
      </c>
      <c r="B414" s="15">
        <v>296.0</v>
      </c>
      <c r="C414" s="17" t="s">
        <v>400</v>
      </c>
      <c r="D414" s="16" t="s">
        <v>68</v>
      </c>
      <c r="E414" s="15">
        <v>7764.0</v>
      </c>
      <c r="F414" s="19">
        <v>0.734879318504496</v>
      </c>
      <c r="G414" s="15">
        <v>0.0</v>
      </c>
      <c r="H414" s="15">
        <v>0.0</v>
      </c>
      <c r="I414" s="15">
        <v>2556.0</v>
      </c>
      <c r="J414" s="15">
        <v>12.0</v>
      </c>
      <c r="K414" s="15">
        <v>218.0</v>
      </c>
      <c r="L414" s="17"/>
      <c r="M414" s="20" t="s">
        <v>1949</v>
      </c>
    </row>
    <row r="415" ht="15.75" customHeight="1">
      <c r="A415" s="14" t="s">
        <v>97</v>
      </c>
      <c r="B415" s="15">
        <v>297.0</v>
      </c>
      <c r="C415" s="17" t="s">
        <v>1331</v>
      </c>
      <c r="D415" s="16" t="s">
        <v>68</v>
      </c>
      <c r="E415" s="15">
        <v>7764.0</v>
      </c>
      <c r="F415" s="19">
        <v>0.734879318504496</v>
      </c>
      <c r="G415" s="15">
        <v>2758.0</v>
      </c>
      <c r="H415" s="15">
        <v>0.0</v>
      </c>
      <c r="I415" s="15">
        <v>6.0</v>
      </c>
      <c r="J415" s="15">
        <v>6.0</v>
      </c>
      <c r="K415" s="15">
        <v>0.0</v>
      </c>
      <c r="L415" s="17"/>
      <c r="M415" s="20" t="s">
        <v>1800</v>
      </c>
    </row>
    <row r="416" ht="15.75" customHeight="1">
      <c r="A416" s="14" t="s">
        <v>97</v>
      </c>
      <c r="B416" s="15">
        <v>298.0</v>
      </c>
      <c r="C416" s="17" t="s">
        <v>1494</v>
      </c>
      <c r="D416" s="16" t="s">
        <v>68</v>
      </c>
      <c r="E416" s="15">
        <v>10557.0</v>
      </c>
      <c r="F416" s="19">
        <v>0.9992427827733081</v>
      </c>
      <c r="G416" s="15">
        <v>0.0</v>
      </c>
      <c r="H416" s="15">
        <v>0.0</v>
      </c>
      <c r="I416" s="15">
        <v>8.0</v>
      </c>
      <c r="J416" s="15">
        <v>0.0</v>
      </c>
      <c r="K416" s="15">
        <v>1.0</v>
      </c>
      <c r="L416" s="17"/>
      <c r="M416" s="20" t="s">
        <v>1951</v>
      </c>
    </row>
    <row r="417" ht="15.75" customHeight="1">
      <c r="A417" s="14" t="s">
        <v>97</v>
      </c>
      <c r="B417" s="15">
        <v>299.0</v>
      </c>
      <c r="C417" s="17" t="s">
        <v>1952</v>
      </c>
      <c r="D417" s="16" t="s">
        <v>138</v>
      </c>
      <c r="E417" s="15">
        <v>7764.0</v>
      </c>
      <c r="F417" s="19">
        <v>0.734879318504496</v>
      </c>
      <c r="G417" s="15">
        <v>0.0</v>
      </c>
      <c r="H417" s="15">
        <v>0.0</v>
      </c>
      <c r="I417" s="15">
        <v>3.0</v>
      </c>
      <c r="J417" s="15">
        <v>0.0</v>
      </c>
      <c r="K417" s="15">
        <v>0.0</v>
      </c>
      <c r="L417" s="17"/>
      <c r="M417" s="20" t="s">
        <v>1803</v>
      </c>
    </row>
    <row r="418" ht="15.75" customHeight="1">
      <c r="A418" s="14" t="s">
        <v>97</v>
      </c>
      <c r="B418" s="15">
        <v>300.0</v>
      </c>
      <c r="C418" s="17" t="s">
        <v>1955</v>
      </c>
      <c r="D418" s="16" t="s">
        <v>357</v>
      </c>
      <c r="E418" s="15">
        <v>7764.0</v>
      </c>
      <c r="F418" s="19">
        <v>0.734879318504496</v>
      </c>
      <c r="G418" s="15">
        <v>0.0</v>
      </c>
      <c r="H418" s="15">
        <v>0.0</v>
      </c>
      <c r="I418" s="15">
        <v>2.0</v>
      </c>
      <c r="J418" s="15">
        <v>0.0</v>
      </c>
      <c r="K418" s="15">
        <v>0.0</v>
      </c>
      <c r="L418" s="17"/>
      <c r="M418" s="20" t="s">
        <v>930</v>
      </c>
    </row>
    <row r="419" ht="15.75" customHeight="1">
      <c r="A419" s="14" t="s">
        <v>97</v>
      </c>
      <c r="B419" s="15">
        <v>301.0</v>
      </c>
      <c r="C419" s="17" t="s">
        <v>1957</v>
      </c>
      <c r="D419" s="16" t="s">
        <v>357</v>
      </c>
      <c r="E419" s="15">
        <v>7764.0</v>
      </c>
      <c r="F419" s="19">
        <v>0.734879318504496</v>
      </c>
      <c r="G419" s="15">
        <v>0.0</v>
      </c>
      <c r="H419" s="15">
        <v>0.0</v>
      </c>
      <c r="I419" s="15">
        <v>1.0</v>
      </c>
      <c r="J419" s="15">
        <v>0.0</v>
      </c>
      <c r="K419" s="15">
        <v>0.0</v>
      </c>
      <c r="L419" s="17"/>
      <c r="M419" s="20" t="s">
        <v>75</v>
      </c>
    </row>
    <row r="420" ht="15.75" customHeight="1">
      <c r="A420" s="14" t="s">
        <v>97</v>
      </c>
      <c r="B420" s="15">
        <v>302.0</v>
      </c>
      <c r="C420" s="17" t="s">
        <v>1339</v>
      </c>
      <c r="D420" s="16" t="s">
        <v>68</v>
      </c>
      <c r="E420" s="15">
        <v>7891.0</v>
      </c>
      <c r="F420" s="19">
        <v>0.74690014197823</v>
      </c>
      <c r="G420" s="15">
        <v>0.0</v>
      </c>
      <c r="H420" s="15">
        <v>0.0</v>
      </c>
      <c r="I420" s="15">
        <v>7.0</v>
      </c>
      <c r="J420" s="15">
        <v>4.0</v>
      </c>
      <c r="K420" s="15">
        <v>0.0</v>
      </c>
      <c r="L420" s="17"/>
      <c r="M420" s="20" t="s">
        <v>1959</v>
      </c>
    </row>
    <row r="421" ht="15.75" customHeight="1">
      <c r="A421" s="14" t="s">
        <v>97</v>
      </c>
      <c r="B421" s="15">
        <v>303.0</v>
      </c>
      <c r="C421" s="17" t="s">
        <v>1961</v>
      </c>
      <c r="D421" s="16" t="s">
        <v>458</v>
      </c>
      <c r="E421" s="15">
        <v>10561.0</v>
      </c>
      <c r="F421" s="19">
        <v>0.9996213913866541</v>
      </c>
      <c r="G421" s="15">
        <v>0.0</v>
      </c>
      <c r="H421" s="15">
        <v>0.0</v>
      </c>
      <c r="I421" s="15">
        <v>4.0</v>
      </c>
      <c r="J421" s="15">
        <v>0.0</v>
      </c>
      <c r="K421" s="15">
        <v>0.0</v>
      </c>
      <c r="L421" s="17"/>
      <c r="M421" s="20" t="s">
        <v>1962</v>
      </c>
    </row>
    <row r="422" ht="15.75" customHeight="1">
      <c r="A422" s="14" t="s">
        <v>97</v>
      </c>
      <c r="B422" s="15">
        <v>304.0</v>
      </c>
      <c r="C422" s="17" t="s">
        <v>917</v>
      </c>
      <c r="D422" s="16" t="s">
        <v>68</v>
      </c>
      <c r="E422" s="15">
        <v>7870.0</v>
      </c>
      <c r="F422" s="19">
        <v>0.7449124467581637</v>
      </c>
      <c r="G422" s="15">
        <v>0.0</v>
      </c>
      <c r="H422" s="15">
        <v>0.0</v>
      </c>
      <c r="I422" s="15">
        <v>2493.0</v>
      </c>
      <c r="J422" s="15">
        <v>0.0</v>
      </c>
      <c r="K422" s="15">
        <v>5.0</v>
      </c>
      <c r="L422" s="17"/>
      <c r="M422" s="20" t="s">
        <v>1964</v>
      </c>
    </row>
    <row r="423" ht="15.75" customHeight="1">
      <c r="A423" s="14" t="s">
        <v>97</v>
      </c>
      <c r="B423" s="15">
        <v>305.0</v>
      </c>
      <c r="C423" s="17" t="s">
        <v>1321</v>
      </c>
      <c r="D423" s="16" t="s">
        <v>68</v>
      </c>
      <c r="E423" s="15">
        <v>7870.0</v>
      </c>
      <c r="F423" s="19">
        <v>0.7449124467581637</v>
      </c>
      <c r="G423" s="15">
        <v>2635.0</v>
      </c>
      <c r="H423" s="15">
        <v>0.0</v>
      </c>
      <c r="I423" s="15">
        <v>6.0</v>
      </c>
      <c r="J423" s="15">
        <v>2.0</v>
      </c>
      <c r="K423" s="15">
        <v>0.0</v>
      </c>
      <c r="L423" s="17"/>
      <c r="M423" s="20" t="s">
        <v>1811</v>
      </c>
    </row>
    <row r="424" ht="15.75" customHeight="1">
      <c r="A424" s="14" t="s">
        <v>97</v>
      </c>
      <c r="B424" s="15">
        <v>306.0</v>
      </c>
      <c r="C424" s="17" t="s">
        <v>1306</v>
      </c>
      <c r="D424" s="16" t="s">
        <v>68</v>
      </c>
      <c r="E424" s="15">
        <v>7870.0</v>
      </c>
      <c r="F424" s="19">
        <v>0.7449124467581637</v>
      </c>
      <c r="G424" s="15">
        <v>0.0</v>
      </c>
      <c r="H424" s="15">
        <v>0.0</v>
      </c>
      <c r="I424" s="15">
        <v>5.0</v>
      </c>
      <c r="J424" s="15">
        <v>2.0</v>
      </c>
      <c r="K424" s="15">
        <v>0.0</v>
      </c>
      <c r="L424" s="17"/>
      <c r="M424" s="20" t="s">
        <v>1969</v>
      </c>
    </row>
    <row r="425" ht="15.75" customHeight="1">
      <c r="A425" s="14" t="s">
        <v>97</v>
      </c>
      <c r="B425" s="15">
        <v>307.0</v>
      </c>
      <c r="C425" s="17" t="s">
        <v>1314</v>
      </c>
      <c r="D425" s="16" t="s">
        <v>68</v>
      </c>
      <c r="E425" s="15">
        <v>8024.0</v>
      </c>
      <c r="F425" s="19">
        <v>0.759488878371983</v>
      </c>
      <c r="G425" s="15">
        <v>0.0</v>
      </c>
      <c r="H425" s="15">
        <v>0.0</v>
      </c>
      <c r="I425" s="15">
        <v>3.0</v>
      </c>
      <c r="J425" s="15">
        <v>1.0</v>
      </c>
      <c r="K425" s="15">
        <v>0.0</v>
      </c>
      <c r="L425" s="17"/>
      <c r="M425" s="20" t="s">
        <v>1896</v>
      </c>
    </row>
    <row r="426" ht="15.75" customHeight="1">
      <c r="A426" s="14" t="s">
        <v>97</v>
      </c>
      <c r="B426" s="15">
        <v>308.0</v>
      </c>
      <c r="C426" s="17" t="s">
        <v>920</v>
      </c>
      <c r="D426" s="16" t="s">
        <v>68</v>
      </c>
      <c r="E426" s="15">
        <v>10467.0</v>
      </c>
      <c r="F426" s="19">
        <v>0.9907240889730241</v>
      </c>
      <c r="G426" s="15">
        <v>0.0</v>
      </c>
      <c r="H426" s="15">
        <v>0.0</v>
      </c>
      <c r="I426" s="15">
        <v>97.0</v>
      </c>
      <c r="J426" s="15">
        <v>0.0</v>
      </c>
      <c r="K426" s="15">
        <v>1.0</v>
      </c>
      <c r="L426" s="17"/>
      <c r="M426" s="20" t="s">
        <v>1971</v>
      </c>
    </row>
    <row r="427" ht="15.75" customHeight="1">
      <c r="A427" s="14" t="s">
        <v>97</v>
      </c>
      <c r="B427" s="15">
        <v>309.0</v>
      </c>
      <c r="C427" s="17" t="s">
        <v>1899</v>
      </c>
      <c r="D427" s="16" t="s">
        <v>68</v>
      </c>
      <c r="E427" s="15">
        <v>10467.0</v>
      </c>
      <c r="F427" s="19">
        <v>0.9907240889730241</v>
      </c>
      <c r="G427" s="15">
        <v>64.0</v>
      </c>
      <c r="H427" s="15">
        <v>0.0</v>
      </c>
      <c r="I427" s="15">
        <v>3.0</v>
      </c>
      <c r="J427" s="15">
        <v>0.0</v>
      </c>
      <c r="K427" s="15">
        <v>0.0</v>
      </c>
      <c r="L427" s="17"/>
      <c r="M427" s="20" t="s">
        <v>1811</v>
      </c>
    </row>
    <row r="428" ht="15.75" customHeight="1">
      <c r="A428" s="14" t="s">
        <v>97</v>
      </c>
      <c r="B428" s="15">
        <v>310.0</v>
      </c>
      <c r="C428" s="17" t="s">
        <v>1975</v>
      </c>
      <c r="D428" s="16" t="s">
        <v>68</v>
      </c>
      <c r="E428" s="15">
        <v>10467.0</v>
      </c>
      <c r="F428" s="19">
        <v>0.9907240889730241</v>
      </c>
      <c r="G428" s="15">
        <v>0.0</v>
      </c>
      <c r="H428" s="15">
        <v>0.0</v>
      </c>
      <c r="I428" s="15">
        <v>2.0</v>
      </c>
      <c r="J428" s="15">
        <v>0.0</v>
      </c>
      <c r="K428" s="15">
        <v>0.0</v>
      </c>
      <c r="L428" s="17"/>
      <c r="M428" s="20" t="s">
        <v>1501</v>
      </c>
    </row>
    <row r="429" ht="15.75" customHeight="1">
      <c r="A429" s="14" t="s">
        <v>97</v>
      </c>
      <c r="B429" s="15">
        <v>311.0</v>
      </c>
      <c r="C429" s="17" t="s">
        <v>1978</v>
      </c>
      <c r="D429" s="16" t="s">
        <v>68</v>
      </c>
      <c r="E429" s="15">
        <v>10502.0</v>
      </c>
      <c r="F429" s="19">
        <v>0.9940369143398012</v>
      </c>
      <c r="G429" s="15">
        <v>0.0</v>
      </c>
      <c r="H429" s="15">
        <v>0.0</v>
      </c>
      <c r="I429" s="15">
        <v>2.0</v>
      </c>
      <c r="J429" s="15">
        <v>0.0</v>
      </c>
      <c r="K429" s="15">
        <v>0.0</v>
      </c>
      <c r="L429" s="17"/>
      <c r="M429" s="20" t="s">
        <v>1472</v>
      </c>
    </row>
    <row r="430" ht="15.75" customHeight="1">
      <c r="A430" s="14" t="s">
        <v>97</v>
      </c>
      <c r="B430" s="15">
        <v>312.0</v>
      </c>
      <c r="C430" s="17" t="s">
        <v>1758</v>
      </c>
      <c r="D430" s="16" t="s">
        <v>68</v>
      </c>
      <c r="E430" s="15">
        <v>10537.0</v>
      </c>
      <c r="F430" s="19">
        <v>0.9973497397065784</v>
      </c>
      <c r="G430" s="15">
        <v>0.0</v>
      </c>
      <c r="H430" s="15">
        <v>0.0</v>
      </c>
      <c r="I430" s="15">
        <v>28.0</v>
      </c>
      <c r="J430" s="15">
        <v>0.0</v>
      </c>
      <c r="K430" s="15">
        <v>0.0</v>
      </c>
      <c r="L430" s="17"/>
      <c r="M430" s="20" t="s">
        <v>1980</v>
      </c>
    </row>
    <row r="431" ht="15.75" customHeight="1">
      <c r="A431" s="14" t="s">
        <v>97</v>
      </c>
      <c r="B431" s="15">
        <v>313.0</v>
      </c>
      <c r="C431" s="17" t="s">
        <v>1900</v>
      </c>
      <c r="D431" s="16" t="s">
        <v>68</v>
      </c>
      <c r="E431" s="15">
        <v>10537.0</v>
      </c>
      <c r="F431" s="19">
        <v>0.9973497397065784</v>
      </c>
      <c r="G431" s="15">
        <v>2.0</v>
      </c>
      <c r="H431" s="15">
        <v>0.0</v>
      </c>
      <c r="I431" s="15">
        <v>4.0</v>
      </c>
      <c r="J431" s="15">
        <v>0.0</v>
      </c>
      <c r="K431" s="15">
        <v>0.0</v>
      </c>
      <c r="L431" s="17"/>
      <c r="M431" s="20" t="s">
        <v>1055</v>
      </c>
    </row>
    <row r="432" ht="15.75" customHeight="1">
      <c r="A432" s="14" t="s">
        <v>97</v>
      </c>
      <c r="B432" s="15">
        <v>314.0</v>
      </c>
      <c r="C432" s="17" t="s">
        <v>1986</v>
      </c>
      <c r="D432" s="16" t="s">
        <v>68</v>
      </c>
      <c r="E432" s="15">
        <v>10537.0</v>
      </c>
      <c r="F432" s="19">
        <v>0.9973497397065784</v>
      </c>
      <c r="G432" s="15">
        <v>0.0</v>
      </c>
      <c r="H432" s="15">
        <v>0.0</v>
      </c>
      <c r="I432" s="15">
        <v>2.0</v>
      </c>
      <c r="J432" s="15">
        <v>0.0</v>
      </c>
      <c r="K432" s="15">
        <v>0.0</v>
      </c>
      <c r="L432" s="17"/>
      <c r="M432" s="20" t="s">
        <v>1167</v>
      </c>
    </row>
    <row r="433" ht="15.75" customHeight="1">
      <c r="A433" s="14" t="s">
        <v>97</v>
      </c>
      <c r="B433" s="15">
        <v>315.0</v>
      </c>
      <c r="C433" s="17" t="s">
        <v>1988</v>
      </c>
      <c r="D433" s="16" t="s">
        <v>68</v>
      </c>
      <c r="E433" s="15">
        <v>10559.0</v>
      </c>
      <c r="F433" s="19">
        <v>0.9994320870799811</v>
      </c>
      <c r="G433" s="15">
        <v>0.0</v>
      </c>
      <c r="H433" s="15">
        <v>0.0</v>
      </c>
      <c r="I433" s="15">
        <v>2.0</v>
      </c>
      <c r="J433" s="15">
        <v>0.0</v>
      </c>
      <c r="K433" s="15">
        <v>0.0</v>
      </c>
      <c r="L433" s="17"/>
      <c r="M433" s="20" t="s">
        <v>1989</v>
      </c>
    </row>
    <row r="434" ht="15.75" customHeight="1">
      <c r="A434" s="14" t="s">
        <v>97</v>
      </c>
      <c r="B434" s="15">
        <v>316.0</v>
      </c>
      <c r="C434" s="17" t="s">
        <v>1991</v>
      </c>
      <c r="D434" s="16" t="s">
        <v>68</v>
      </c>
      <c r="E434" s="15">
        <v>10549.0</v>
      </c>
      <c r="F434" s="19">
        <v>0.9984855655466162</v>
      </c>
      <c r="G434" s="15">
        <v>0.0</v>
      </c>
      <c r="H434" s="15">
        <v>0.0</v>
      </c>
      <c r="I434" s="15">
        <v>16.0</v>
      </c>
      <c r="J434" s="15">
        <v>0.0</v>
      </c>
      <c r="K434" s="15">
        <v>0.0</v>
      </c>
      <c r="L434" s="17"/>
      <c r="M434" s="20" t="s">
        <v>1992</v>
      </c>
    </row>
    <row r="435" ht="15.75" customHeight="1">
      <c r="A435" s="14" t="s">
        <v>97</v>
      </c>
      <c r="B435" s="15">
        <v>317.0</v>
      </c>
      <c r="C435" s="17" t="s">
        <v>1902</v>
      </c>
      <c r="D435" s="16" t="s">
        <v>68</v>
      </c>
      <c r="E435" s="15">
        <v>10549.0</v>
      </c>
      <c r="F435" s="19">
        <v>0.9984855655466162</v>
      </c>
      <c r="G435" s="15">
        <v>1.0</v>
      </c>
      <c r="H435" s="15">
        <v>0.0</v>
      </c>
      <c r="I435" s="15">
        <v>3.0</v>
      </c>
      <c r="J435" s="15">
        <v>0.0</v>
      </c>
      <c r="K435" s="15">
        <v>0.0</v>
      </c>
      <c r="L435" s="17"/>
      <c r="M435" s="20" t="s">
        <v>1090</v>
      </c>
    </row>
    <row r="436" ht="15.75" customHeight="1">
      <c r="A436" s="14" t="s">
        <v>97</v>
      </c>
      <c r="B436" s="15">
        <v>318.0</v>
      </c>
      <c r="C436" s="17" t="s">
        <v>1997</v>
      </c>
      <c r="D436" s="16" t="s">
        <v>68</v>
      </c>
      <c r="E436" s="15">
        <v>10549.0</v>
      </c>
      <c r="F436" s="19">
        <v>0.9984855655466162</v>
      </c>
      <c r="G436" s="15">
        <v>0.0</v>
      </c>
      <c r="H436" s="15">
        <v>0.0</v>
      </c>
      <c r="I436" s="15">
        <v>3.0</v>
      </c>
      <c r="J436" s="15">
        <v>0.0</v>
      </c>
      <c r="K436" s="15">
        <v>0.0</v>
      </c>
      <c r="L436" s="17"/>
      <c r="M436" s="20" t="s">
        <v>1462</v>
      </c>
    </row>
    <row r="437" ht="15.75" customHeight="1">
      <c r="A437" s="14" t="s">
        <v>97</v>
      </c>
      <c r="B437" s="15">
        <v>319.0</v>
      </c>
      <c r="C437" s="17" t="s">
        <v>2000</v>
      </c>
      <c r="D437" s="16" t="s">
        <v>68</v>
      </c>
      <c r="E437" s="15">
        <v>10561.0</v>
      </c>
      <c r="F437" s="19">
        <v>0.9996213913866541</v>
      </c>
      <c r="G437" s="15">
        <v>0.0</v>
      </c>
      <c r="H437" s="15">
        <v>0.0</v>
      </c>
      <c r="I437" s="15">
        <v>1.0</v>
      </c>
      <c r="J437" s="15">
        <v>0.0</v>
      </c>
      <c r="K437" s="15">
        <v>0.0</v>
      </c>
      <c r="L437" s="17"/>
      <c r="M437" s="20" t="s">
        <v>1203</v>
      </c>
    </row>
    <row r="438" ht="15.75" customHeight="1">
      <c r="A438" s="14" t="s">
        <v>97</v>
      </c>
      <c r="B438" s="15">
        <v>320.0</v>
      </c>
      <c r="C438" s="17" t="s">
        <v>1761</v>
      </c>
      <c r="D438" s="16" t="s">
        <v>68</v>
      </c>
      <c r="E438" s="15">
        <v>10556.0</v>
      </c>
      <c r="F438" s="19">
        <v>0.9991481306199717</v>
      </c>
      <c r="G438" s="15">
        <v>0.0</v>
      </c>
      <c r="H438" s="15">
        <v>0.0</v>
      </c>
      <c r="I438" s="15">
        <v>9.0</v>
      </c>
      <c r="J438" s="15">
        <v>0.0</v>
      </c>
      <c r="K438" s="15">
        <v>0.0</v>
      </c>
      <c r="L438" s="17"/>
      <c r="M438" s="20" t="s">
        <v>2002</v>
      </c>
    </row>
    <row r="439" ht="15.75" customHeight="1">
      <c r="A439" s="14" t="s">
        <v>97</v>
      </c>
      <c r="B439" s="15">
        <v>321.0</v>
      </c>
      <c r="C439" s="17" t="s">
        <v>1904</v>
      </c>
      <c r="D439" s="16" t="s">
        <v>68</v>
      </c>
      <c r="E439" s="15">
        <v>10556.0</v>
      </c>
      <c r="F439" s="19">
        <v>0.9991481306199717</v>
      </c>
      <c r="G439" s="15">
        <v>1.0</v>
      </c>
      <c r="H439" s="15">
        <v>0.0</v>
      </c>
      <c r="I439" s="15">
        <v>2.0</v>
      </c>
      <c r="J439" s="15">
        <v>0.0</v>
      </c>
      <c r="K439" s="15">
        <v>0.0</v>
      </c>
      <c r="L439" s="17"/>
      <c r="M439" s="20" t="s">
        <v>1733</v>
      </c>
    </row>
    <row r="440" ht="15.75" customHeight="1">
      <c r="A440" s="14" t="s">
        <v>97</v>
      </c>
      <c r="B440" s="15">
        <v>322.0</v>
      </c>
      <c r="C440" s="17" t="s">
        <v>2006</v>
      </c>
      <c r="D440" s="16" t="s">
        <v>68</v>
      </c>
      <c r="E440" s="15">
        <v>10556.0</v>
      </c>
      <c r="F440" s="19">
        <v>0.9991481306199717</v>
      </c>
      <c r="G440" s="15">
        <v>0.0</v>
      </c>
      <c r="H440" s="15">
        <v>0.0</v>
      </c>
      <c r="I440" s="15">
        <v>2.0</v>
      </c>
      <c r="J440" s="15">
        <v>0.0</v>
      </c>
      <c r="K440" s="15">
        <v>0.0</v>
      </c>
      <c r="L440" s="17"/>
      <c r="M440" s="20" t="s">
        <v>1167</v>
      </c>
    </row>
    <row r="441" ht="15.75" customHeight="1">
      <c r="A441" s="14" t="s">
        <v>97</v>
      </c>
      <c r="B441" s="15">
        <v>323.0</v>
      </c>
      <c r="C441" s="17" t="s">
        <v>2008</v>
      </c>
      <c r="D441" s="16" t="s">
        <v>68</v>
      </c>
      <c r="E441" s="15">
        <v>10562.0</v>
      </c>
      <c r="F441" s="19">
        <v>0.9997160435399906</v>
      </c>
      <c r="G441" s="15">
        <v>0.0</v>
      </c>
      <c r="H441" s="15">
        <v>0.0</v>
      </c>
      <c r="I441" s="15">
        <v>1.0</v>
      </c>
      <c r="J441" s="15">
        <v>0.0</v>
      </c>
      <c r="K441" s="15">
        <v>0.0</v>
      </c>
      <c r="L441" s="17"/>
      <c r="M441" s="20" t="s">
        <v>1203</v>
      </c>
    </row>
    <row r="442" ht="15.75" customHeight="1">
      <c r="A442" s="14" t="s">
        <v>97</v>
      </c>
      <c r="B442" s="15">
        <v>324.0</v>
      </c>
      <c r="C442" s="17" t="s">
        <v>661</v>
      </c>
      <c r="D442" s="16" t="s">
        <v>458</v>
      </c>
      <c r="E442" s="15">
        <v>7934.0</v>
      </c>
      <c r="F442" s="19">
        <v>0.750970184571699</v>
      </c>
      <c r="G442" s="15">
        <v>0.0</v>
      </c>
      <c r="H442" s="15">
        <v>0.0</v>
      </c>
      <c r="I442" s="15">
        <v>2408.0</v>
      </c>
      <c r="J442" s="15">
        <v>0.0</v>
      </c>
      <c r="K442" s="15">
        <v>0.0</v>
      </c>
      <c r="L442" s="17"/>
      <c r="M442" s="20" t="s">
        <v>2010</v>
      </c>
    </row>
    <row r="443" ht="15.75" customHeight="1">
      <c r="A443" s="14" t="s">
        <v>97</v>
      </c>
      <c r="B443" s="15">
        <v>325.0</v>
      </c>
      <c r="C443" s="17" t="s">
        <v>2013</v>
      </c>
      <c r="D443" s="16" t="s">
        <v>458</v>
      </c>
      <c r="E443" s="15">
        <v>10501.0</v>
      </c>
      <c r="F443" s="19">
        <v>0.9939422621864648</v>
      </c>
      <c r="G443" s="15">
        <v>0.0</v>
      </c>
      <c r="H443" s="15">
        <v>0.0</v>
      </c>
      <c r="I443" s="15">
        <v>63.0</v>
      </c>
      <c r="J443" s="15">
        <v>0.0</v>
      </c>
      <c r="K443" s="15">
        <v>0.0</v>
      </c>
      <c r="L443" s="17"/>
      <c r="M443" s="20" t="s">
        <v>2014</v>
      </c>
    </row>
    <row r="444" ht="15.75" customHeight="1">
      <c r="A444" s="14" t="s">
        <v>97</v>
      </c>
      <c r="B444" s="15">
        <v>326.0</v>
      </c>
      <c r="C444" s="17" t="s">
        <v>2017</v>
      </c>
      <c r="D444" s="16" t="s">
        <v>458</v>
      </c>
      <c r="E444" s="15">
        <v>10552.0</v>
      </c>
      <c r="F444" s="19">
        <v>0.9987695220066256</v>
      </c>
      <c r="G444" s="15">
        <v>0.0</v>
      </c>
      <c r="H444" s="15">
        <v>0.0</v>
      </c>
      <c r="I444" s="15">
        <v>13.0</v>
      </c>
      <c r="J444" s="15">
        <v>0.0</v>
      </c>
      <c r="K444" s="15">
        <v>0.0</v>
      </c>
      <c r="L444" s="17"/>
      <c r="M444" s="20" t="s">
        <v>2018</v>
      </c>
    </row>
    <row r="445" ht="15.75" customHeight="1">
      <c r="A445" s="14" t="s">
        <v>97</v>
      </c>
      <c r="B445" s="15">
        <v>327.0</v>
      </c>
      <c r="C445" s="17" t="s">
        <v>2021</v>
      </c>
      <c r="D445" s="16" t="s">
        <v>458</v>
      </c>
      <c r="E445" s="15">
        <v>10557.0</v>
      </c>
      <c r="F445" s="19">
        <v>0.9992427827733081</v>
      </c>
      <c r="G445" s="15">
        <v>0.0</v>
      </c>
      <c r="H445" s="15">
        <v>0.0</v>
      </c>
      <c r="I445" s="15">
        <v>8.0</v>
      </c>
      <c r="J445" s="15">
        <v>0.0</v>
      </c>
      <c r="K445" s="15">
        <v>0.0</v>
      </c>
      <c r="L445" s="17"/>
      <c r="M445" s="20" t="s">
        <v>2022</v>
      </c>
    </row>
    <row r="446" ht="15.75" customHeight="1">
      <c r="A446" s="14" t="s">
        <v>97</v>
      </c>
      <c r="B446" s="15">
        <v>328.0</v>
      </c>
      <c r="C446" s="17" t="s">
        <v>404</v>
      </c>
      <c r="D446" s="16" t="s">
        <v>68</v>
      </c>
      <c r="E446" s="15">
        <v>7945.0</v>
      </c>
      <c r="F446" s="19">
        <v>0.7520113582584004</v>
      </c>
      <c r="G446" s="15">
        <v>0.0</v>
      </c>
      <c r="H446" s="15">
        <v>0.0</v>
      </c>
      <c r="I446" s="15">
        <v>2423.0</v>
      </c>
      <c r="J446" s="15">
        <v>7.0</v>
      </c>
      <c r="K446" s="15">
        <v>154.0</v>
      </c>
      <c r="L446" s="17"/>
      <c r="M446" s="20" t="s">
        <v>2025</v>
      </c>
    </row>
    <row r="447" ht="15.75" customHeight="1">
      <c r="A447" s="14" t="s">
        <v>97</v>
      </c>
      <c r="B447" s="15">
        <v>329.0</v>
      </c>
      <c r="C447" s="17" t="s">
        <v>1361</v>
      </c>
      <c r="D447" s="16" t="s">
        <v>68</v>
      </c>
      <c r="E447" s="15">
        <v>7945.0</v>
      </c>
      <c r="F447" s="19">
        <v>0.7520113582584004</v>
      </c>
      <c r="G447" s="15">
        <v>2602.0</v>
      </c>
      <c r="H447" s="15">
        <v>0.0</v>
      </c>
      <c r="I447" s="15">
        <v>5.0</v>
      </c>
      <c r="J447" s="15">
        <v>1.0</v>
      </c>
      <c r="K447" s="15">
        <v>0.0</v>
      </c>
      <c r="L447" s="17"/>
      <c r="M447" s="20" t="s">
        <v>2029</v>
      </c>
    </row>
    <row r="448" ht="15.75" customHeight="1">
      <c r="A448" s="14" t="s">
        <v>97</v>
      </c>
      <c r="B448" s="15">
        <v>330.0</v>
      </c>
      <c r="C448" s="17" t="s">
        <v>2032</v>
      </c>
      <c r="D448" s="16" t="s">
        <v>68</v>
      </c>
      <c r="E448" s="15">
        <v>10562.0</v>
      </c>
      <c r="F448" s="19">
        <v>0.9997160435399906</v>
      </c>
      <c r="G448" s="15">
        <v>0.0</v>
      </c>
      <c r="H448" s="15">
        <v>0.0</v>
      </c>
      <c r="I448" s="15">
        <v>3.0</v>
      </c>
      <c r="J448" s="15">
        <v>0.0</v>
      </c>
      <c r="K448" s="15">
        <v>0.0</v>
      </c>
      <c r="L448" s="17"/>
      <c r="M448" s="20" t="s">
        <v>2033</v>
      </c>
    </row>
    <row r="449" ht="15.75" customHeight="1">
      <c r="A449" s="14" t="s">
        <v>97</v>
      </c>
      <c r="B449" s="15">
        <v>331.0</v>
      </c>
      <c r="C449" s="17" t="s">
        <v>2036</v>
      </c>
      <c r="D449" s="16" t="s">
        <v>138</v>
      </c>
      <c r="E449" s="15">
        <v>7945.0</v>
      </c>
      <c r="F449" s="19">
        <v>0.7520113582584004</v>
      </c>
      <c r="G449" s="15">
        <v>0.0</v>
      </c>
      <c r="H449" s="15">
        <v>0.0</v>
      </c>
      <c r="I449" s="15">
        <v>3.0</v>
      </c>
      <c r="J449" s="15">
        <v>0.0</v>
      </c>
      <c r="K449" s="15">
        <v>0.0</v>
      </c>
      <c r="L449" s="17"/>
      <c r="M449" s="20" t="s">
        <v>1884</v>
      </c>
    </row>
    <row r="450" ht="15.75" customHeight="1">
      <c r="A450" s="14" t="s">
        <v>97</v>
      </c>
      <c r="B450" s="15">
        <v>332.0</v>
      </c>
      <c r="C450" s="17" t="s">
        <v>2038</v>
      </c>
      <c r="D450" s="16" t="s">
        <v>357</v>
      </c>
      <c r="E450" s="15">
        <v>7945.0</v>
      </c>
      <c r="F450" s="19">
        <v>0.7520113582584004</v>
      </c>
      <c r="G450" s="15">
        <v>0.0</v>
      </c>
      <c r="H450" s="15">
        <v>0.0</v>
      </c>
      <c r="I450" s="15">
        <v>2.0</v>
      </c>
      <c r="J450" s="15">
        <v>0.0</v>
      </c>
      <c r="K450" s="15">
        <v>0.0</v>
      </c>
      <c r="L450" s="17"/>
      <c r="M450" s="20" t="s">
        <v>930</v>
      </c>
    </row>
    <row r="451" ht="15.75" customHeight="1">
      <c r="A451" s="14" t="s">
        <v>97</v>
      </c>
      <c r="B451" s="15">
        <v>333.0</v>
      </c>
      <c r="C451" s="17" t="s">
        <v>2041</v>
      </c>
      <c r="D451" s="16" t="s">
        <v>357</v>
      </c>
      <c r="E451" s="15">
        <v>7945.0</v>
      </c>
      <c r="F451" s="19">
        <v>0.7520113582584004</v>
      </c>
      <c r="G451" s="15">
        <v>0.0</v>
      </c>
      <c r="H451" s="15">
        <v>0.0</v>
      </c>
      <c r="I451" s="15">
        <v>1.0</v>
      </c>
      <c r="J451" s="15">
        <v>0.0</v>
      </c>
      <c r="K451" s="15">
        <v>0.0</v>
      </c>
      <c r="L451" s="17"/>
      <c r="M451" s="20" t="s">
        <v>75</v>
      </c>
    </row>
    <row r="452" ht="15.75" customHeight="1">
      <c r="A452" s="14" t="s">
        <v>97</v>
      </c>
      <c r="B452" s="15">
        <v>334.0</v>
      </c>
      <c r="C452" s="17" t="s">
        <v>1363</v>
      </c>
      <c r="D452" s="16" t="s">
        <v>68</v>
      </c>
      <c r="E452" s="15">
        <v>8044.0</v>
      </c>
      <c r="F452" s="19">
        <v>0.7613819214387127</v>
      </c>
      <c r="G452" s="15">
        <v>0.0</v>
      </c>
      <c r="H452" s="15">
        <v>0.0</v>
      </c>
      <c r="I452" s="15">
        <v>7.0</v>
      </c>
      <c r="J452" s="15">
        <v>2.0</v>
      </c>
      <c r="K452" s="15">
        <v>0.0</v>
      </c>
      <c r="L452" s="17"/>
      <c r="M452" s="20" t="s">
        <v>2043</v>
      </c>
    </row>
    <row r="453" ht="15.75" customHeight="1">
      <c r="A453" s="14" t="s">
        <v>97</v>
      </c>
      <c r="B453" s="15">
        <v>335.0</v>
      </c>
      <c r="C453" s="17" t="s">
        <v>2045</v>
      </c>
      <c r="D453" s="16" t="s">
        <v>458</v>
      </c>
      <c r="E453" s="15">
        <v>10563.0</v>
      </c>
      <c r="F453" s="19">
        <v>0.999810695693327</v>
      </c>
      <c r="G453" s="15">
        <v>0.0</v>
      </c>
      <c r="H453" s="15">
        <v>0.0</v>
      </c>
      <c r="I453" s="15">
        <v>2.0</v>
      </c>
      <c r="J453" s="15">
        <v>0.0</v>
      </c>
      <c r="K453" s="15">
        <v>0.0</v>
      </c>
      <c r="L453" s="17"/>
      <c r="M453" s="20" t="s">
        <v>2046</v>
      </c>
    </row>
    <row r="454" ht="15.75" customHeight="1">
      <c r="A454" s="14" t="s">
        <v>97</v>
      </c>
      <c r="B454" s="15">
        <v>336.0</v>
      </c>
      <c r="C454" s="17" t="s">
        <v>923</v>
      </c>
      <c r="D454" s="16" t="s">
        <v>68</v>
      </c>
      <c r="E454" s="15">
        <v>8013.0</v>
      </c>
      <c r="F454" s="19">
        <v>0.7584477046852816</v>
      </c>
      <c r="G454" s="15">
        <v>0.0</v>
      </c>
      <c r="H454" s="15">
        <v>0.0</v>
      </c>
      <c r="I454" s="15">
        <v>2379.0</v>
      </c>
      <c r="J454" s="15">
        <v>0.0</v>
      </c>
      <c r="K454" s="15">
        <v>1.0</v>
      </c>
      <c r="L454" s="17"/>
      <c r="M454" s="20" t="s">
        <v>2047</v>
      </c>
    </row>
    <row r="455" ht="15.75" customHeight="1">
      <c r="A455" s="14" t="s">
        <v>97</v>
      </c>
      <c r="B455" s="15">
        <v>337.0</v>
      </c>
      <c r="C455" s="17" t="s">
        <v>1354</v>
      </c>
      <c r="D455" s="16" t="s">
        <v>68</v>
      </c>
      <c r="E455" s="15">
        <v>8013.0</v>
      </c>
      <c r="F455" s="19">
        <v>0.7584477046852816</v>
      </c>
      <c r="G455" s="15">
        <v>2510.0</v>
      </c>
      <c r="H455" s="15">
        <v>0.0</v>
      </c>
      <c r="I455" s="15">
        <v>6.0</v>
      </c>
      <c r="J455" s="15">
        <v>2.0</v>
      </c>
      <c r="K455" s="15">
        <v>0.0</v>
      </c>
      <c r="L455" s="17"/>
      <c r="M455" s="20" t="s">
        <v>1656</v>
      </c>
    </row>
    <row r="456" ht="15.75" customHeight="1">
      <c r="A456" s="14" t="s">
        <v>97</v>
      </c>
      <c r="B456" s="15">
        <v>338.0</v>
      </c>
      <c r="C456" s="17" t="s">
        <v>2051</v>
      </c>
      <c r="D456" s="16" t="s">
        <v>68</v>
      </c>
      <c r="E456" s="15">
        <v>8013.0</v>
      </c>
      <c r="F456" s="19">
        <v>0.7584477046852816</v>
      </c>
      <c r="G456" s="15">
        <v>0.0</v>
      </c>
      <c r="H456" s="15">
        <v>0.0</v>
      </c>
      <c r="I456" s="15">
        <v>3.0</v>
      </c>
      <c r="J456" s="15">
        <v>0.0</v>
      </c>
      <c r="K456" s="15">
        <v>0.0</v>
      </c>
      <c r="L456" s="17"/>
      <c r="M456" s="20" t="s">
        <v>1148</v>
      </c>
    </row>
    <row r="457" ht="15.75" customHeight="1">
      <c r="A457" s="14" t="s">
        <v>97</v>
      </c>
      <c r="B457" s="15">
        <v>339.0</v>
      </c>
      <c r="C457" s="17" t="s">
        <v>2053</v>
      </c>
      <c r="D457" s="16" t="s">
        <v>68</v>
      </c>
      <c r="E457" s="15">
        <v>8133.0</v>
      </c>
      <c r="F457" s="19">
        <v>0.7698059630856602</v>
      </c>
      <c r="G457" s="15">
        <v>0.0</v>
      </c>
      <c r="H457" s="15">
        <v>0.0</v>
      </c>
      <c r="I457" s="15">
        <v>2.0</v>
      </c>
      <c r="J457" s="15">
        <v>0.0</v>
      </c>
      <c r="K457" s="15">
        <v>0.0</v>
      </c>
      <c r="L457" s="17"/>
      <c r="M457" s="20" t="s">
        <v>1472</v>
      </c>
    </row>
    <row r="458" ht="15.75" customHeight="1">
      <c r="A458" s="14" t="s">
        <v>97</v>
      </c>
      <c r="B458" s="15">
        <v>340.0</v>
      </c>
      <c r="C458" s="17" t="s">
        <v>1764</v>
      </c>
      <c r="D458" s="16" t="s">
        <v>68</v>
      </c>
      <c r="E458" s="15">
        <v>10483.0</v>
      </c>
      <c r="F458" s="19">
        <v>0.992238523426408</v>
      </c>
      <c r="G458" s="15">
        <v>0.0</v>
      </c>
      <c r="H458" s="15">
        <v>0.0</v>
      </c>
      <c r="I458" s="15">
        <v>82.0</v>
      </c>
      <c r="J458" s="15">
        <v>0.0</v>
      </c>
      <c r="K458" s="15">
        <v>0.0</v>
      </c>
      <c r="L458" s="17"/>
      <c r="M458" s="20" t="s">
        <v>2054</v>
      </c>
    </row>
    <row r="459" ht="15.75" customHeight="1">
      <c r="A459" s="14" t="s">
        <v>97</v>
      </c>
      <c r="B459" s="15">
        <v>341.0</v>
      </c>
      <c r="C459" s="17" t="s">
        <v>1907</v>
      </c>
      <c r="D459" s="16" t="s">
        <v>68</v>
      </c>
      <c r="E459" s="15">
        <v>10483.0</v>
      </c>
      <c r="F459" s="19">
        <v>0.992238523426408</v>
      </c>
      <c r="G459" s="15">
        <v>58.0</v>
      </c>
      <c r="H459" s="15">
        <v>0.0</v>
      </c>
      <c r="I459" s="15">
        <v>4.0</v>
      </c>
      <c r="J459" s="15">
        <v>0.0</v>
      </c>
      <c r="K459" s="15">
        <v>0.0</v>
      </c>
      <c r="L459" s="17"/>
      <c r="M459" s="20" t="s">
        <v>2057</v>
      </c>
    </row>
    <row r="460" ht="15.75" customHeight="1">
      <c r="A460" s="14" t="s">
        <v>97</v>
      </c>
      <c r="B460" s="15">
        <v>342.0</v>
      </c>
      <c r="C460" s="17" t="s">
        <v>2058</v>
      </c>
      <c r="D460" s="16" t="s">
        <v>68</v>
      </c>
      <c r="E460" s="15">
        <v>10483.0</v>
      </c>
      <c r="F460" s="19">
        <v>0.992238523426408</v>
      </c>
      <c r="G460" s="15">
        <v>0.0</v>
      </c>
      <c r="H460" s="15">
        <v>0.0</v>
      </c>
      <c r="I460" s="15">
        <v>2.0</v>
      </c>
      <c r="J460" s="15">
        <v>0.0</v>
      </c>
      <c r="K460" s="15">
        <v>0.0</v>
      </c>
      <c r="L460" s="17"/>
      <c r="M460" s="20" t="s">
        <v>1501</v>
      </c>
    </row>
    <row r="461" ht="15.75" customHeight="1">
      <c r="A461" s="14" t="s">
        <v>97</v>
      </c>
      <c r="B461" s="15">
        <v>343.0</v>
      </c>
      <c r="C461" s="17" t="s">
        <v>2060</v>
      </c>
      <c r="D461" s="16" t="s">
        <v>68</v>
      </c>
      <c r="E461" s="15">
        <v>10507.0</v>
      </c>
      <c r="F461" s="19">
        <v>0.9945101751064837</v>
      </c>
      <c r="G461" s="15">
        <v>0.0</v>
      </c>
      <c r="H461" s="15">
        <v>0.0</v>
      </c>
      <c r="I461" s="15">
        <v>2.0</v>
      </c>
      <c r="J461" s="15">
        <v>0.0</v>
      </c>
      <c r="K461" s="15">
        <v>0.0</v>
      </c>
      <c r="L461" s="17"/>
      <c r="M461" s="20" t="s">
        <v>1472</v>
      </c>
    </row>
    <row r="462" ht="15.75" customHeight="1">
      <c r="A462" s="14" t="s">
        <v>97</v>
      </c>
      <c r="B462" s="15">
        <v>344.0</v>
      </c>
      <c r="C462" s="17" t="s">
        <v>1765</v>
      </c>
      <c r="D462" s="16" t="s">
        <v>68</v>
      </c>
      <c r="E462" s="15">
        <v>10545.0</v>
      </c>
      <c r="F462" s="19">
        <v>0.9981069569332702</v>
      </c>
      <c r="G462" s="15">
        <v>0.0</v>
      </c>
      <c r="H462" s="15">
        <v>0.0</v>
      </c>
      <c r="I462" s="15">
        <v>20.0</v>
      </c>
      <c r="J462" s="15">
        <v>0.0</v>
      </c>
      <c r="K462" s="15">
        <v>0.0</v>
      </c>
      <c r="L462" s="17"/>
      <c r="M462" s="20" t="s">
        <v>2061</v>
      </c>
    </row>
    <row r="463" ht="15.75" customHeight="1">
      <c r="A463" s="14" t="s">
        <v>97</v>
      </c>
      <c r="B463" s="15">
        <v>345.0</v>
      </c>
      <c r="C463" s="17" t="s">
        <v>1909</v>
      </c>
      <c r="D463" s="16" t="s">
        <v>68</v>
      </c>
      <c r="E463" s="15">
        <v>10545.0</v>
      </c>
      <c r="F463" s="19">
        <v>0.9981069569332702</v>
      </c>
      <c r="G463" s="15">
        <v>2.0</v>
      </c>
      <c r="H463" s="15">
        <v>0.0</v>
      </c>
      <c r="I463" s="15">
        <v>4.0</v>
      </c>
      <c r="J463" s="15">
        <v>0.0</v>
      </c>
      <c r="K463" s="15">
        <v>0.0</v>
      </c>
      <c r="L463" s="17"/>
      <c r="M463" s="20" t="s">
        <v>2064</v>
      </c>
    </row>
    <row r="464" ht="15.75" customHeight="1">
      <c r="A464" s="14" t="s">
        <v>97</v>
      </c>
      <c r="B464" s="15">
        <v>346.0</v>
      </c>
      <c r="C464" s="17" t="s">
        <v>2065</v>
      </c>
      <c r="D464" s="16" t="s">
        <v>68</v>
      </c>
      <c r="E464" s="15">
        <v>10545.0</v>
      </c>
      <c r="F464" s="19">
        <v>0.9981069569332702</v>
      </c>
      <c r="G464" s="15">
        <v>0.0</v>
      </c>
      <c r="H464" s="15">
        <v>0.0</v>
      </c>
      <c r="I464" s="15">
        <v>2.0</v>
      </c>
      <c r="J464" s="15">
        <v>0.0</v>
      </c>
      <c r="K464" s="15">
        <v>0.0</v>
      </c>
      <c r="L464" s="17"/>
      <c r="M464" s="20" t="s">
        <v>1835</v>
      </c>
    </row>
    <row r="465" ht="15.75" customHeight="1">
      <c r="A465" s="14" t="s">
        <v>97</v>
      </c>
      <c r="B465" s="15">
        <v>347.0</v>
      </c>
      <c r="C465" s="17" t="s">
        <v>2067</v>
      </c>
      <c r="D465" s="16" t="s">
        <v>68</v>
      </c>
      <c r="E465" s="15">
        <v>10561.0</v>
      </c>
      <c r="F465" s="19">
        <v>0.9996213913866541</v>
      </c>
      <c r="G465" s="15">
        <v>0.0</v>
      </c>
      <c r="H465" s="15">
        <v>0.0</v>
      </c>
      <c r="I465" s="15">
        <v>2.0</v>
      </c>
      <c r="J465" s="15">
        <v>0.0</v>
      </c>
      <c r="K465" s="15">
        <v>0.0</v>
      </c>
      <c r="L465" s="17"/>
      <c r="M465" s="20" t="s">
        <v>1472</v>
      </c>
    </row>
    <row r="466" ht="15.75" customHeight="1">
      <c r="A466" s="14" t="s">
        <v>97</v>
      </c>
      <c r="B466" s="15">
        <v>348.0</v>
      </c>
      <c r="C466" s="17" t="s">
        <v>1768</v>
      </c>
      <c r="D466" s="16" t="s">
        <v>68</v>
      </c>
      <c r="E466" s="15">
        <v>10552.0</v>
      </c>
      <c r="F466" s="19">
        <v>0.9987695220066256</v>
      </c>
      <c r="G466" s="15">
        <v>0.0</v>
      </c>
      <c r="H466" s="15">
        <v>0.0</v>
      </c>
      <c r="I466" s="15">
        <v>13.0</v>
      </c>
      <c r="J466" s="15">
        <v>0.0</v>
      </c>
      <c r="K466" s="15">
        <v>0.0</v>
      </c>
      <c r="L466" s="17"/>
      <c r="M466" s="20" t="s">
        <v>2070</v>
      </c>
    </row>
    <row r="467" ht="15.75" customHeight="1">
      <c r="A467" s="14" t="s">
        <v>97</v>
      </c>
      <c r="B467" s="15">
        <v>349.0</v>
      </c>
      <c r="C467" s="17" t="s">
        <v>2073</v>
      </c>
      <c r="D467" s="16" t="s">
        <v>68</v>
      </c>
      <c r="E467" s="15">
        <v>10552.0</v>
      </c>
      <c r="F467" s="19">
        <v>0.9987695220066256</v>
      </c>
      <c r="G467" s="15">
        <v>0.0</v>
      </c>
      <c r="H467" s="15">
        <v>0.0</v>
      </c>
      <c r="I467" s="15">
        <v>2.0</v>
      </c>
      <c r="J467" s="15">
        <v>0.0</v>
      </c>
      <c r="K467" s="15">
        <v>0.0</v>
      </c>
      <c r="L467" s="17"/>
      <c r="M467" s="20" t="s">
        <v>1159</v>
      </c>
    </row>
    <row r="468" ht="15.75" customHeight="1">
      <c r="A468" s="14" t="s">
        <v>97</v>
      </c>
      <c r="B468" s="15">
        <v>350.0</v>
      </c>
      <c r="C468" s="17" t="s">
        <v>2077</v>
      </c>
      <c r="D468" s="16" t="s">
        <v>68</v>
      </c>
      <c r="E468" s="15">
        <v>10552.0</v>
      </c>
      <c r="F468" s="19">
        <v>0.9987695220066256</v>
      </c>
      <c r="G468" s="15">
        <v>0.0</v>
      </c>
      <c r="H468" s="15">
        <v>0.0</v>
      </c>
      <c r="I468" s="15">
        <v>3.0</v>
      </c>
      <c r="J468" s="15">
        <v>0.0</v>
      </c>
      <c r="K468" s="15">
        <v>0.0</v>
      </c>
      <c r="L468" s="17"/>
      <c r="M468" s="20" t="s">
        <v>1891</v>
      </c>
    </row>
    <row r="469" ht="15.75" customHeight="1">
      <c r="A469" s="14" t="s">
        <v>97</v>
      </c>
      <c r="B469" s="15">
        <v>351.0</v>
      </c>
      <c r="C469" s="17" t="s">
        <v>2080</v>
      </c>
      <c r="D469" s="16" t="s">
        <v>68</v>
      </c>
      <c r="E469" s="15">
        <v>10562.0</v>
      </c>
      <c r="F469" s="19">
        <v>0.9997160435399906</v>
      </c>
      <c r="G469" s="15">
        <v>0.0</v>
      </c>
      <c r="H469" s="15">
        <v>0.0</v>
      </c>
      <c r="I469" s="15">
        <v>1.0</v>
      </c>
      <c r="J469" s="15">
        <v>0.0</v>
      </c>
      <c r="K469" s="15">
        <v>0.0</v>
      </c>
      <c r="L469" s="17"/>
      <c r="M469" s="20" t="s">
        <v>1203</v>
      </c>
    </row>
    <row r="470" ht="15.75" customHeight="1">
      <c r="A470" s="14" t="s">
        <v>97</v>
      </c>
      <c r="B470" s="15">
        <v>352.0</v>
      </c>
      <c r="C470" s="17" t="s">
        <v>1769</v>
      </c>
      <c r="D470" s="16" t="s">
        <v>68</v>
      </c>
      <c r="E470" s="15">
        <v>10555.0</v>
      </c>
      <c r="F470" s="19">
        <v>0.9990534784666352</v>
      </c>
      <c r="G470" s="15">
        <v>0.0</v>
      </c>
      <c r="H470" s="15">
        <v>0.0</v>
      </c>
      <c r="I470" s="15">
        <v>10.0</v>
      </c>
      <c r="J470" s="15">
        <v>0.0</v>
      </c>
      <c r="K470" s="15">
        <v>0.0</v>
      </c>
      <c r="L470" s="17"/>
      <c r="M470" s="20" t="s">
        <v>2082</v>
      </c>
    </row>
    <row r="471" ht="15.75" customHeight="1">
      <c r="A471" s="14" t="s">
        <v>97</v>
      </c>
      <c r="B471" s="15">
        <v>353.0</v>
      </c>
      <c r="C471" s="17" t="s">
        <v>2086</v>
      </c>
      <c r="D471" s="16" t="s">
        <v>68</v>
      </c>
      <c r="E471" s="15">
        <v>10555.0</v>
      </c>
      <c r="F471" s="19">
        <v>0.9990534784666352</v>
      </c>
      <c r="G471" s="15">
        <v>0.0</v>
      </c>
      <c r="H471" s="15">
        <v>0.0</v>
      </c>
      <c r="I471" s="15">
        <v>1.0</v>
      </c>
      <c r="J471" s="15">
        <v>0.0</v>
      </c>
      <c r="K471" s="15">
        <v>0.0</v>
      </c>
      <c r="L471" s="17"/>
      <c r="M471" s="20" t="s">
        <v>1747</v>
      </c>
    </row>
    <row r="472" ht="15.75" customHeight="1">
      <c r="A472" s="14" t="s">
        <v>97</v>
      </c>
      <c r="B472" s="15">
        <v>354.0</v>
      </c>
      <c r="C472" s="17" t="s">
        <v>2088</v>
      </c>
      <c r="D472" s="16" t="s">
        <v>68</v>
      </c>
      <c r="E472" s="15">
        <v>10555.0</v>
      </c>
      <c r="F472" s="19">
        <v>0.9990534784666352</v>
      </c>
      <c r="G472" s="15">
        <v>0.0</v>
      </c>
      <c r="H472" s="15">
        <v>0.0</v>
      </c>
      <c r="I472" s="15">
        <v>2.0</v>
      </c>
      <c r="J472" s="15">
        <v>0.0</v>
      </c>
      <c r="K472" s="15">
        <v>0.0</v>
      </c>
      <c r="L472" s="17"/>
      <c r="M472" s="20" t="s">
        <v>1835</v>
      </c>
    </row>
    <row r="473" ht="15.75" customHeight="1">
      <c r="A473" s="14" t="s">
        <v>97</v>
      </c>
      <c r="B473" s="15">
        <v>355.0</v>
      </c>
      <c r="C473" s="17" t="s">
        <v>2091</v>
      </c>
      <c r="D473" s="16" t="s">
        <v>68</v>
      </c>
      <c r="E473" s="15">
        <v>10563.0</v>
      </c>
      <c r="F473" s="19">
        <v>0.999810695693327</v>
      </c>
      <c r="G473" s="15">
        <v>0.0</v>
      </c>
      <c r="H473" s="15">
        <v>0.0</v>
      </c>
      <c r="I473" s="15">
        <v>1.0</v>
      </c>
      <c r="J473" s="15">
        <v>0.0</v>
      </c>
      <c r="K473" s="15">
        <v>0.0</v>
      </c>
      <c r="L473" s="17"/>
      <c r="M473" s="20" t="s">
        <v>1203</v>
      </c>
    </row>
    <row r="474" ht="15.75" customHeight="1">
      <c r="A474" s="14" t="s">
        <v>97</v>
      </c>
      <c r="B474" s="15">
        <v>356.0</v>
      </c>
      <c r="C474" s="17" t="s">
        <v>1772</v>
      </c>
      <c r="D474" s="16" t="s">
        <v>68</v>
      </c>
      <c r="E474" s="15">
        <v>10560.0</v>
      </c>
      <c r="F474" s="19">
        <v>0.9995267392333176</v>
      </c>
      <c r="G474" s="15">
        <v>0.0</v>
      </c>
      <c r="H474" s="15">
        <v>0.0</v>
      </c>
      <c r="I474" s="15">
        <v>5.0</v>
      </c>
      <c r="J474" s="15">
        <v>0.0</v>
      </c>
      <c r="K474" s="15">
        <v>0.0</v>
      </c>
      <c r="L474" s="17"/>
      <c r="M474" s="20" t="s">
        <v>2095</v>
      </c>
    </row>
    <row r="475" ht="15.75" customHeight="1">
      <c r="A475" s="14" t="s">
        <v>97</v>
      </c>
      <c r="B475" s="15">
        <v>357.0</v>
      </c>
      <c r="C475" s="17" t="s">
        <v>2098</v>
      </c>
      <c r="D475" s="16" t="s">
        <v>68</v>
      </c>
      <c r="E475" s="15">
        <v>10560.0</v>
      </c>
      <c r="F475" s="19">
        <v>0.9995267392333176</v>
      </c>
      <c r="G475" s="15">
        <v>0.0</v>
      </c>
      <c r="H475" s="15">
        <v>0.0</v>
      </c>
      <c r="I475" s="15">
        <v>2.0</v>
      </c>
      <c r="J475" s="15">
        <v>0.0</v>
      </c>
      <c r="K475" s="15">
        <v>0.0</v>
      </c>
      <c r="L475" s="17"/>
      <c r="M475" s="20" t="s">
        <v>1159</v>
      </c>
    </row>
    <row r="476" ht="15.75" customHeight="1">
      <c r="A476" s="14" t="s">
        <v>97</v>
      </c>
      <c r="B476" s="15">
        <v>358.0</v>
      </c>
      <c r="C476" s="17" t="s">
        <v>2101</v>
      </c>
      <c r="D476" s="16" t="s">
        <v>68</v>
      </c>
      <c r="E476" s="15">
        <v>10560.0</v>
      </c>
      <c r="F476" s="19">
        <v>0.9995267392333176</v>
      </c>
      <c r="G476" s="15">
        <v>0.0</v>
      </c>
      <c r="H476" s="15">
        <v>0.0</v>
      </c>
      <c r="I476" s="15">
        <v>2.0</v>
      </c>
      <c r="J476" s="15">
        <v>0.0</v>
      </c>
      <c r="K476" s="15">
        <v>0.0</v>
      </c>
      <c r="L476" s="17"/>
      <c r="M476" s="20" t="s">
        <v>1835</v>
      </c>
    </row>
    <row r="477" ht="15.75" customHeight="1">
      <c r="A477" s="14" t="s">
        <v>97</v>
      </c>
      <c r="B477" s="15">
        <v>359.0</v>
      </c>
      <c r="C477" s="17" t="s">
        <v>1775</v>
      </c>
      <c r="D477" s="16" t="s">
        <v>68</v>
      </c>
      <c r="E477" s="15">
        <v>10562.0</v>
      </c>
      <c r="F477" s="19">
        <v>0.9997160435399906</v>
      </c>
      <c r="G477" s="15">
        <v>0.0</v>
      </c>
      <c r="H477" s="15">
        <v>0.0</v>
      </c>
      <c r="I477" s="15">
        <v>3.0</v>
      </c>
      <c r="J477" s="15">
        <v>0.0</v>
      </c>
      <c r="K477" s="15">
        <v>0.0</v>
      </c>
      <c r="L477" s="17"/>
      <c r="M477" s="20" t="s">
        <v>2104</v>
      </c>
    </row>
    <row r="478" ht="15.75" customHeight="1">
      <c r="A478" s="14" t="s">
        <v>97</v>
      </c>
      <c r="B478" s="15">
        <v>360.0</v>
      </c>
      <c r="C478" s="17" t="s">
        <v>2107</v>
      </c>
      <c r="D478" s="16" t="s">
        <v>68</v>
      </c>
      <c r="E478" s="15">
        <v>10562.0</v>
      </c>
      <c r="F478" s="19">
        <v>0.9997160435399906</v>
      </c>
      <c r="G478" s="15">
        <v>0.0</v>
      </c>
      <c r="H478" s="15">
        <v>0.0</v>
      </c>
      <c r="I478" s="15">
        <v>1.0</v>
      </c>
      <c r="J478" s="15">
        <v>0.0</v>
      </c>
      <c r="K478" s="15">
        <v>0.0</v>
      </c>
      <c r="L478" s="17"/>
      <c r="M478" s="20" t="s">
        <v>1747</v>
      </c>
    </row>
    <row r="479" ht="15.75" customHeight="1">
      <c r="A479" s="14" t="s">
        <v>97</v>
      </c>
      <c r="B479" s="15">
        <v>361.0</v>
      </c>
      <c r="C479" s="17" t="s">
        <v>2110</v>
      </c>
      <c r="D479" s="16" t="s">
        <v>68</v>
      </c>
      <c r="E479" s="15">
        <v>10562.0</v>
      </c>
      <c r="F479" s="19">
        <v>0.9997160435399906</v>
      </c>
      <c r="G479" s="15">
        <v>0.0</v>
      </c>
      <c r="H479" s="15">
        <v>0.0</v>
      </c>
      <c r="I479" s="15">
        <v>3.0</v>
      </c>
      <c r="J479" s="15">
        <v>0.0</v>
      </c>
      <c r="K479" s="15">
        <v>0.0</v>
      </c>
      <c r="L479" s="17"/>
      <c r="M479" s="20" t="s">
        <v>1148</v>
      </c>
    </row>
    <row r="480" ht="15.75" customHeight="1">
      <c r="A480" s="14" t="s">
        <v>97</v>
      </c>
      <c r="B480" s="15">
        <v>362.0</v>
      </c>
      <c r="C480" s="17" t="s">
        <v>2113</v>
      </c>
      <c r="D480" s="16" t="s">
        <v>68</v>
      </c>
      <c r="E480" s="15">
        <v>10564.0</v>
      </c>
      <c r="F480" s="19">
        <v>0.9999053478466635</v>
      </c>
      <c r="G480" s="15">
        <v>0.0</v>
      </c>
      <c r="H480" s="15">
        <v>0.0</v>
      </c>
      <c r="I480" s="15">
        <v>1.0</v>
      </c>
      <c r="J480" s="15">
        <v>0.0</v>
      </c>
      <c r="K480" s="15">
        <v>0.0</v>
      </c>
      <c r="L480" s="17"/>
      <c r="M480" s="20" t="s">
        <v>2114</v>
      </c>
    </row>
    <row r="481" ht="15.75" customHeight="1">
      <c r="A481" s="14" t="s">
        <v>97</v>
      </c>
      <c r="B481" s="15">
        <v>363.0</v>
      </c>
      <c r="C481" s="17" t="s">
        <v>2116</v>
      </c>
      <c r="D481" s="16" t="s">
        <v>68</v>
      </c>
      <c r="E481" s="15">
        <v>10564.0</v>
      </c>
      <c r="F481" s="19">
        <v>0.9999053478466635</v>
      </c>
      <c r="G481" s="15">
        <v>0.0</v>
      </c>
      <c r="H481" s="15">
        <v>0.0</v>
      </c>
      <c r="I481" s="15">
        <v>1.0</v>
      </c>
      <c r="J481" s="15">
        <v>0.0</v>
      </c>
      <c r="K481" s="15">
        <v>0.0</v>
      </c>
      <c r="L481" s="17"/>
      <c r="M481" s="20" t="s">
        <v>1222</v>
      </c>
    </row>
    <row r="482" ht="15.75" customHeight="1">
      <c r="A482" s="14" t="s">
        <v>97</v>
      </c>
      <c r="B482" s="15">
        <v>364.0</v>
      </c>
      <c r="C482" s="17" t="s">
        <v>2118</v>
      </c>
      <c r="D482" s="16" t="s">
        <v>68</v>
      </c>
      <c r="E482" s="15">
        <v>10564.0</v>
      </c>
      <c r="F482" s="19">
        <v>0.9999053478466635</v>
      </c>
      <c r="G482" s="15">
        <v>0.0</v>
      </c>
      <c r="H482" s="15">
        <v>0.0</v>
      </c>
      <c r="I482" s="15">
        <v>1.0</v>
      </c>
      <c r="J482" s="15">
        <v>0.0</v>
      </c>
      <c r="K482" s="15">
        <v>0.0</v>
      </c>
      <c r="L482" s="17"/>
      <c r="M482" s="20" t="s">
        <v>1214</v>
      </c>
    </row>
    <row r="483" ht="15.75" customHeight="1">
      <c r="A483" s="14" t="s">
        <v>97</v>
      </c>
      <c r="B483" s="15">
        <v>365.0</v>
      </c>
      <c r="C483" s="17" t="s">
        <v>2120</v>
      </c>
      <c r="D483" s="16" t="s">
        <v>68</v>
      </c>
      <c r="E483" s="15">
        <v>10564.0</v>
      </c>
      <c r="F483" s="19">
        <v>0.9999053478466635</v>
      </c>
      <c r="G483" s="15">
        <v>0.0</v>
      </c>
      <c r="H483" s="15">
        <v>0.0</v>
      </c>
      <c r="I483" s="15">
        <v>1.0</v>
      </c>
      <c r="J483" s="15">
        <v>0.0</v>
      </c>
      <c r="K483" s="15">
        <v>0.0</v>
      </c>
      <c r="L483" s="17"/>
      <c r="M483" s="20" t="s">
        <v>2121</v>
      </c>
    </row>
    <row r="484" ht="15.75" customHeight="1">
      <c r="A484" s="14" t="s">
        <v>97</v>
      </c>
      <c r="B484" s="15">
        <v>366.0</v>
      </c>
      <c r="C484" s="17" t="s">
        <v>2124</v>
      </c>
      <c r="D484" s="16" t="s">
        <v>68</v>
      </c>
      <c r="E484" s="15">
        <v>10564.0</v>
      </c>
      <c r="F484" s="19">
        <v>0.9999053478466635</v>
      </c>
      <c r="G484" s="15">
        <v>0.0</v>
      </c>
      <c r="H484" s="15">
        <v>0.0</v>
      </c>
      <c r="I484" s="15">
        <v>1.0</v>
      </c>
      <c r="J484" s="15">
        <v>0.0</v>
      </c>
      <c r="K484" s="15">
        <v>0.0</v>
      </c>
      <c r="L484" s="17"/>
      <c r="M484" s="20" t="s">
        <v>1222</v>
      </c>
    </row>
    <row r="485" ht="15.75" customHeight="1">
      <c r="A485" s="14" t="s">
        <v>97</v>
      </c>
      <c r="B485" s="15">
        <v>367.0</v>
      </c>
      <c r="C485" s="17" t="s">
        <v>2126</v>
      </c>
      <c r="D485" s="16" t="s">
        <v>68</v>
      </c>
      <c r="E485" s="15">
        <v>10564.0</v>
      </c>
      <c r="F485" s="19">
        <v>0.9999053478466635</v>
      </c>
      <c r="G485" s="15">
        <v>0.0</v>
      </c>
      <c r="H485" s="15">
        <v>0.0</v>
      </c>
      <c r="I485" s="15">
        <v>1.0</v>
      </c>
      <c r="J485" s="15">
        <v>0.0</v>
      </c>
      <c r="K485" s="15">
        <v>0.0</v>
      </c>
      <c r="L485" s="17"/>
      <c r="M485" s="20" t="s">
        <v>1214</v>
      </c>
    </row>
    <row r="486" ht="15.75" customHeight="1">
      <c r="A486" s="14" t="s">
        <v>97</v>
      </c>
      <c r="B486" s="15">
        <v>368.0</v>
      </c>
      <c r="C486" s="17" t="s">
        <v>2128</v>
      </c>
      <c r="D486" s="16" t="s">
        <v>68</v>
      </c>
      <c r="E486" s="15">
        <v>10564.0</v>
      </c>
      <c r="F486" s="19">
        <v>0.9999053478466635</v>
      </c>
      <c r="G486" s="15">
        <v>0.0</v>
      </c>
      <c r="H486" s="15">
        <v>0.0</v>
      </c>
      <c r="I486" s="15">
        <v>1.0</v>
      </c>
      <c r="J486" s="15">
        <v>0.0</v>
      </c>
      <c r="K486" s="15">
        <v>0.0</v>
      </c>
      <c r="L486" s="17"/>
      <c r="M486" s="20" t="s">
        <v>2129</v>
      </c>
    </row>
    <row r="487" ht="15.75" customHeight="1">
      <c r="A487" s="14" t="s">
        <v>97</v>
      </c>
      <c r="B487" s="15">
        <v>369.0</v>
      </c>
      <c r="C487" s="17" t="s">
        <v>2132</v>
      </c>
      <c r="D487" s="16" t="s">
        <v>68</v>
      </c>
      <c r="E487" s="15">
        <v>10564.0</v>
      </c>
      <c r="F487" s="19">
        <v>0.9999053478466635</v>
      </c>
      <c r="G487" s="15">
        <v>0.0</v>
      </c>
      <c r="H487" s="15">
        <v>0.0</v>
      </c>
      <c r="I487" s="15">
        <v>1.0</v>
      </c>
      <c r="J487" s="15">
        <v>0.0</v>
      </c>
      <c r="K487" s="15">
        <v>0.0</v>
      </c>
      <c r="L487" s="17"/>
      <c r="M487" s="20" t="s">
        <v>1747</v>
      </c>
    </row>
    <row r="488" ht="15.75" customHeight="1">
      <c r="A488" s="14" t="s">
        <v>97</v>
      </c>
      <c r="B488" s="15">
        <v>370.0</v>
      </c>
      <c r="C488" s="17" t="s">
        <v>2135</v>
      </c>
      <c r="D488" s="16" t="s">
        <v>68</v>
      </c>
      <c r="E488" s="15">
        <v>10564.0</v>
      </c>
      <c r="F488" s="19">
        <v>0.9999053478466635</v>
      </c>
      <c r="G488" s="15">
        <v>0.0</v>
      </c>
      <c r="H488" s="15">
        <v>0.0</v>
      </c>
      <c r="I488" s="15">
        <v>1.0</v>
      </c>
      <c r="J488" s="15">
        <v>0.0</v>
      </c>
      <c r="K488" s="15">
        <v>0.0</v>
      </c>
      <c r="L488" s="17"/>
      <c r="M488" s="20" t="s">
        <v>1214</v>
      </c>
    </row>
    <row r="489" ht="15.75" customHeight="1">
      <c r="A489" s="14" t="s">
        <v>97</v>
      </c>
      <c r="B489" s="15">
        <v>371.0</v>
      </c>
      <c r="C489" s="17" t="s">
        <v>666</v>
      </c>
      <c r="D489" s="16" t="s">
        <v>458</v>
      </c>
      <c r="E489" s="15">
        <v>8055.0</v>
      </c>
      <c r="F489" s="19">
        <v>0.7624230951254141</v>
      </c>
      <c r="G489" s="15">
        <v>0.0</v>
      </c>
      <c r="H489" s="15">
        <v>0.0</v>
      </c>
      <c r="I489" s="15">
        <v>2327.0</v>
      </c>
      <c r="J489" s="15">
        <v>0.0</v>
      </c>
      <c r="K489" s="15">
        <v>0.0</v>
      </c>
      <c r="L489" s="17"/>
      <c r="M489" s="20" t="s">
        <v>2138</v>
      </c>
    </row>
    <row r="490" ht="15.75" customHeight="1">
      <c r="A490" s="14" t="s">
        <v>97</v>
      </c>
      <c r="B490" s="15">
        <v>372.0</v>
      </c>
      <c r="C490" s="17" t="s">
        <v>672</v>
      </c>
      <c r="D490" s="16" t="s">
        <v>458</v>
      </c>
      <c r="E490" s="15">
        <v>10510.0</v>
      </c>
      <c r="F490" s="19">
        <v>0.9947941315664931</v>
      </c>
      <c r="G490" s="15">
        <v>0.0</v>
      </c>
      <c r="H490" s="15">
        <v>0.0</v>
      </c>
      <c r="I490" s="15">
        <v>55.0</v>
      </c>
      <c r="J490" s="15">
        <v>0.0</v>
      </c>
      <c r="K490" s="15">
        <v>0.0</v>
      </c>
      <c r="L490" s="17"/>
      <c r="M490" s="20" t="s">
        <v>2142</v>
      </c>
    </row>
    <row r="491" ht="15.75" customHeight="1">
      <c r="A491" s="14" t="s">
        <v>97</v>
      </c>
      <c r="B491" s="15">
        <v>373.0</v>
      </c>
      <c r="C491" s="17" t="s">
        <v>676</v>
      </c>
      <c r="D491" s="16" t="s">
        <v>458</v>
      </c>
      <c r="E491" s="15">
        <v>10557.0</v>
      </c>
      <c r="F491" s="19">
        <v>0.9992427827733081</v>
      </c>
      <c r="G491" s="15">
        <v>0.0</v>
      </c>
      <c r="H491" s="15">
        <v>0.0</v>
      </c>
      <c r="I491" s="15">
        <v>8.0</v>
      </c>
      <c r="J491" s="15">
        <v>0.0</v>
      </c>
      <c r="K491" s="15">
        <v>0.0</v>
      </c>
      <c r="L491" s="17"/>
      <c r="M491" s="20" t="s">
        <v>2145</v>
      </c>
    </row>
    <row r="492" ht="15.75" customHeight="1">
      <c r="A492" s="14" t="s">
        <v>97</v>
      </c>
      <c r="B492" s="15">
        <v>374.0</v>
      </c>
      <c r="C492" s="17" t="s">
        <v>2148</v>
      </c>
      <c r="D492" s="16" t="s">
        <v>458</v>
      </c>
      <c r="E492" s="15">
        <v>10561.0</v>
      </c>
      <c r="F492" s="19">
        <v>0.9996213913866541</v>
      </c>
      <c r="G492" s="15">
        <v>0.0</v>
      </c>
      <c r="H492" s="15">
        <v>0.0</v>
      </c>
      <c r="I492" s="15">
        <v>4.0</v>
      </c>
      <c r="J492" s="15">
        <v>0.0</v>
      </c>
      <c r="K492" s="15">
        <v>0.0</v>
      </c>
      <c r="L492" s="17"/>
      <c r="M492" s="20" t="s">
        <v>2149</v>
      </c>
    </row>
    <row r="493" ht="15.75" customHeight="1">
      <c r="A493" s="14" t="s">
        <v>97</v>
      </c>
      <c r="B493" s="15">
        <v>375.0</v>
      </c>
      <c r="C493" s="17" t="s">
        <v>407</v>
      </c>
      <c r="D493" s="16" t="s">
        <v>68</v>
      </c>
      <c r="E493" s="15">
        <v>8059.0</v>
      </c>
      <c r="F493" s="19">
        <v>0.7628017037387601</v>
      </c>
      <c r="G493" s="15">
        <v>0.0</v>
      </c>
      <c r="H493" s="15">
        <v>0.0</v>
      </c>
      <c r="I493" s="15">
        <v>2282.0</v>
      </c>
      <c r="J493" s="15">
        <v>11.0</v>
      </c>
      <c r="K493" s="15">
        <v>139.0</v>
      </c>
      <c r="L493" s="17"/>
      <c r="M493" s="20" t="s">
        <v>2153</v>
      </c>
    </row>
    <row r="494" ht="15.75" customHeight="1">
      <c r="A494" s="14" t="s">
        <v>97</v>
      </c>
      <c r="B494" s="15">
        <v>376.0</v>
      </c>
      <c r="C494" s="17" t="s">
        <v>1370</v>
      </c>
      <c r="D494" s="16" t="s">
        <v>68</v>
      </c>
      <c r="E494" s="15">
        <v>8059.0</v>
      </c>
      <c r="F494" s="19">
        <v>0.7628017037387601</v>
      </c>
      <c r="G494" s="15">
        <v>2495.0</v>
      </c>
      <c r="H494" s="15">
        <v>0.0</v>
      </c>
      <c r="I494" s="15">
        <v>4.0</v>
      </c>
      <c r="J494" s="15">
        <v>2.0</v>
      </c>
      <c r="K494" s="15">
        <v>0.0</v>
      </c>
      <c r="L494" s="17"/>
      <c r="M494" s="20" t="s">
        <v>2156</v>
      </c>
    </row>
    <row r="495" ht="15.75" customHeight="1">
      <c r="A495" s="14" t="s">
        <v>97</v>
      </c>
      <c r="B495" s="15">
        <v>377.0</v>
      </c>
      <c r="C495" s="17" t="s">
        <v>1365</v>
      </c>
      <c r="D495" s="16" t="s">
        <v>68</v>
      </c>
      <c r="E495" s="15">
        <v>10560.0</v>
      </c>
      <c r="F495" s="19">
        <v>0.9995267392333176</v>
      </c>
      <c r="G495" s="15">
        <v>0.0</v>
      </c>
      <c r="H495" s="15">
        <v>0.0</v>
      </c>
      <c r="I495" s="15">
        <v>5.0</v>
      </c>
      <c r="J495" s="15">
        <v>1.0</v>
      </c>
      <c r="K495" s="15">
        <v>0.0</v>
      </c>
      <c r="L495" s="17"/>
      <c r="M495" s="20" t="s">
        <v>2159</v>
      </c>
    </row>
    <row r="496" ht="15.75" customHeight="1">
      <c r="A496" s="14" t="s">
        <v>97</v>
      </c>
      <c r="B496" s="15">
        <v>378.0</v>
      </c>
      <c r="C496" s="17" t="s">
        <v>2160</v>
      </c>
      <c r="D496" s="16" t="s">
        <v>138</v>
      </c>
      <c r="E496" s="15">
        <v>8059.0</v>
      </c>
      <c r="F496" s="19">
        <v>0.7628017037387601</v>
      </c>
      <c r="G496" s="15">
        <v>0.0</v>
      </c>
      <c r="H496" s="15">
        <v>0.0</v>
      </c>
      <c r="I496" s="15">
        <v>3.0</v>
      </c>
      <c r="J496" s="15">
        <v>0.0</v>
      </c>
      <c r="K496" s="15">
        <v>0.0</v>
      </c>
      <c r="L496" s="17"/>
      <c r="M496" s="20" t="s">
        <v>1884</v>
      </c>
    </row>
    <row r="497" ht="15.75" customHeight="1">
      <c r="A497" s="14" t="s">
        <v>97</v>
      </c>
      <c r="B497" s="15">
        <v>379.0</v>
      </c>
      <c r="C497" s="17" t="s">
        <v>2163</v>
      </c>
      <c r="D497" s="16" t="s">
        <v>357</v>
      </c>
      <c r="E497" s="15">
        <v>8059.0</v>
      </c>
      <c r="F497" s="19">
        <v>0.7628017037387601</v>
      </c>
      <c r="G497" s="15">
        <v>0.0</v>
      </c>
      <c r="H497" s="15">
        <v>0.0</v>
      </c>
      <c r="I497" s="15">
        <v>2.0</v>
      </c>
      <c r="J497" s="15">
        <v>0.0</v>
      </c>
      <c r="K497" s="15">
        <v>0.0</v>
      </c>
      <c r="L497" s="17"/>
      <c r="M497" s="20" t="s">
        <v>930</v>
      </c>
    </row>
    <row r="498" ht="15.75" customHeight="1">
      <c r="A498" s="14" t="s">
        <v>97</v>
      </c>
      <c r="B498" s="15">
        <v>380.0</v>
      </c>
      <c r="C498" s="17" t="s">
        <v>2165</v>
      </c>
      <c r="D498" s="16" t="s">
        <v>357</v>
      </c>
      <c r="E498" s="15">
        <v>8059.0</v>
      </c>
      <c r="F498" s="19">
        <v>0.7628017037387601</v>
      </c>
      <c r="G498" s="15">
        <v>0.0</v>
      </c>
      <c r="H498" s="15">
        <v>0.0</v>
      </c>
      <c r="I498" s="15">
        <v>1.0</v>
      </c>
      <c r="J498" s="15">
        <v>0.0</v>
      </c>
      <c r="K498" s="15">
        <v>0.0</v>
      </c>
      <c r="L498" s="17"/>
      <c r="M498" s="20" t="s">
        <v>75</v>
      </c>
    </row>
    <row r="499" ht="15.75" customHeight="1">
      <c r="A499" s="14" t="s">
        <v>97</v>
      </c>
      <c r="B499" s="15">
        <v>381.0</v>
      </c>
      <c r="C499" s="17" t="s">
        <v>1373</v>
      </c>
      <c r="D499" s="16" t="s">
        <v>68</v>
      </c>
      <c r="E499" s="15">
        <v>8167.0</v>
      </c>
      <c r="F499" s="19">
        <v>0.7730241362991008</v>
      </c>
      <c r="G499" s="15">
        <v>0.0</v>
      </c>
      <c r="H499" s="15">
        <v>0.0</v>
      </c>
      <c r="I499" s="15">
        <v>7.0</v>
      </c>
      <c r="J499" s="15">
        <v>2.0</v>
      </c>
      <c r="K499" s="15">
        <v>0.0</v>
      </c>
      <c r="L499" s="17"/>
      <c r="M499" s="20" t="s">
        <v>2168</v>
      </c>
    </row>
    <row r="500" ht="15.75" customHeight="1">
      <c r="A500" s="14" t="s">
        <v>97</v>
      </c>
      <c r="B500" s="15">
        <v>382.0</v>
      </c>
      <c r="C500" s="17" t="s">
        <v>927</v>
      </c>
      <c r="D500" s="16" t="s">
        <v>68</v>
      </c>
      <c r="E500" s="15">
        <v>8100.0</v>
      </c>
      <c r="F500" s="19">
        <v>0.7666824420255561</v>
      </c>
      <c r="G500" s="15">
        <v>0.0</v>
      </c>
      <c r="H500" s="15">
        <v>0.0</v>
      </c>
      <c r="I500" s="15">
        <v>2276.0</v>
      </c>
      <c r="J500" s="15">
        <v>0.0</v>
      </c>
      <c r="K500" s="15">
        <v>2.0</v>
      </c>
      <c r="L500" s="17"/>
      <c r="M500" s="20" t="s">
        <v>2170</v>
      </c>
    </row>
    <row r="501" ht="15.75" customHeight="1">
      <c r="A501" s="14" t="s">
        <v>97</v>
      </c>
      <c r="B501" s="15">
        <v>383.0</v>
      </c>
      <c r="C501" s="17" t="s">
        <v>1368</v>
      </c>
      <c r="D501" s="16" t="s">
        <v>68</v>
      </c>
      <c r="E501" s="15">
        <v>8100.0</v>
      </c>
      <c r="F501" s="19">
        <v>0.7666824420255561</v>
      </c>
      <c r="G501" s="15">
        <v>2431.0</v>
      </c>
      <c r="H501" s="15">
        <v>0.0</v>
      </c>
      <c r="I501" s="15">
        <v>5.0</v>
      </c>
      <c r="J501" s="15">
        <v>2.0</v>
      </c>
      <c r="K501" s="15">
        <v>0.0</v>
      </c>
      <c r="L501" s="17"/>
      <c r="M501" s="20" t="s">
        <v>1811</v>
      </c>
    </row>
    <row r="502" ht="15.75" customHeight="1">
      <c r="A502" s="14" t="s">
        <v>97</v>
      </c>
      <c r="B502" s="15">
        <v>384.0</v>
      </c>
      <c r="C502" s="17" t="s">
        <v>2174</v>
      </c>
      <c r="D502" s="16" t="s">
        <v>68</v>
      </c>
      <c r="E502" s="15">
        <v>8100.0</v>
      </c>
      <c r="F502" s="19">
        <v>0.7666824420255561</v>
      </c>
      <c r="G502" s="15">
        <v>0.0</v>
      </c>
      <c r="H502" s="15">
        <v>0.0</v>
      </c>
      <c r="I502" s="15">
        <v>3.0</v>
      </c>
      <c r="J502" s="15">
        <v>0.0</v>
      </c>
      <c r="K502" s="15">
        <v>0.0</v>
      </c>
      <c r="L502" s="17"/>
      <c r="M502" s="20" t="s">
        <v>1148</v>
      </c>
    </row>
    <row r="503" ht="15.75" customHeight="1">
      <c r="A503" s="14" t="s">
        <v>97</v>
      </c>
      <c r="B503" s="15">
        <v>385.0</v>
      </c>
      <c r="C503" s="17" t="s">
        <v>2176</v>
      </c>
      <c r="D503" s="16" t="s">
        <v>68</v>
      </c>
      <c r="E503" s="15">
        <v>8226.0</v>
      </c>
      <c r="F503" s="19">
        <v>0.7786086133459537</v>
      </c>
      <c r="G503" s="15">
        <v>0.0</v>
      </c>
      <c r="H503" s="15">
        <v>0.0</v>
      </c>
      <c r="I503" s="15">
        <v>2.0</v>
      </c>
      <c r="J503" s="15">
        <v>0.0</v>
      </c>
      <c r="K503" s="15">
        <v>0.0</v>
      </c>
      <c r="L503" s="17"/>
      <c r="M503" s="20" t="s">
        <v>1472</v>
      </c>
    </row>
    <row r="504" ht="15.75" customHeight="1">
      <c r="A504" s="14" t="s">
        <v>97</v>
      </c>
      <c r="B504" s="15">
        <v>386.0</v>
      </c>
      <c r="C504" s="17" t="s">
        <v>1782</v>
      </c>
      <c r="D504" s="16" t="s">
        <v>68</v>
      </c>
      <c r="E504" s="15">
        <v>10489.0</v>
      </c>
      <c r="F504" s="19">
        <v>0.9928064363464268</v>
      </c>
      <c r="G504" s="15">
        <v>0.0</v>
      </c>
      <c r="H504" s="15">
        <v>0.0</v>
      </c>
      <c r="I504" s="15">
        <v>74.0</v>
      </c>
      <c r="J504" s="15">
        <v>0.0</v>
      </c>
      <c r="K504" s="15">
        <v>0.0</v>
      </c>
      <c r="L504" s="17"/>
      <c r="M504" s="20" t="s">
        <v>2177</v>
      </c>
    </row>
    <row r="505" ht="15.75" customHeight="1">
      <c r="A505" s="14" t="s">
        <v>97</v>
      </c>
      <c r="B505" s="15">
        <v>387.0</v>
      </c>
      <c r="C505" s="17" t="s">
        <v>1913</v>
      </c>
      <c r="D505" s="16" t="s">
        <v>68</v>
      </c>
      <c r="E505" s="15">
        <v>10489.0</v>
      </c>
      <c r="F505" s="19">
        <v>0.9928064363464268</v>
      </c>
      <c r="G505" s="15">
        <v>58.0</v>
      </c>
      <c r="H505" s="15">
        <v>0.0</v>
      </c>
      <c r="I505" s="15">
        <v>2.0</v>
      </c>
      <c r="J505" s="15">
        <v>0.0</v>
      </c>
      <c r="K505" s="15">
        <v>0.0</v>
      </c>
      <c r="L505" s="17"/>
      <c r="M505" s="20" t="s">
        <v>2180</v>
      </c>
    </row>
    <row r="506" ht="15.75" customHeight="1">
      <c r="A506" s="14" t="s">
        <v>97</v>
      </c>
      <c r="B506" s="15">
        <v>388.0</v>
      </c>
      <c r="C506" s="17" t="s">
        <v>2182</v>
      </c>
      <c r="D506" s="16" t="s">
        <v>68</v>
      </c>
      <c r="E506" s="15">
        <v>10489.0</v>
      </c>
      <c r="F506" s="19">
        <v>0.9928064363464268</v>
      </c>
      <c r="G506" s="15">
        <v>0.0</v>
      </c>
      <c r="H506" s="15">
        <v>0.0</v>
      </c>
      <c r="I506" s="15">
        <v>2.0</v>
      </c>
      <c r="J506" s="15">
        <v>0.0</v>
      </c>
      <c r="K506" s="15">
        <v>0.0</v>
      </c>
      <c r="L506" s="17"/>
      <c r="M506" s="20" t="s">
        <v>1501</v>
      </c>
    </row>
    <row r="507" ht="15.75" customHeight="1">
      <c r="A507" s="14" t="s">
        <v>97</v>
      </c>
      <c r="B507" s="15">
        <v>389.0</v>
      </c>
      <c r="C507" s="17" t="s">
        <v>2185</v>
      </c>
      <c r="D507" s="16" t="s">
        <v>68</v>
      </c>
      <c r="E507" s="15">
        <v>10511.0</v>
      </c>
      <c r="F507" s="19">
        <v>0.9948887837198296</v>
      </c>
      <c r="G507" s="15">
        <v>0.0</v>
      </c>
      <c r="H507" s="15">
        <v>0.0</v>
      </c>
      <c r="I507" s="15">
        <v>1.0</v>
      </c>
      <c r="J507" s="15">
        <v>0.0</v>
      </c>
      <c r="K507" s="15">
        <v>0.0</v>
      </c>
      <c r="L507" s="17"/>
      <c r="M507" s="20" t="s">
        <v>2186</v>
      </c>
    </row>
    <row r="508" ht="15.75" customHeight="1">
      <c r="A508" s="14" t="s">
        <v>97</v>
      </c>
      <c r="B508" s="15">
        <v>390.0</v>
      </c>
      <c r="C508" s="17" t="s">
        <v>1785</v>
      </c>
      <c r="D508" s="16" t="s">
        <v>68</v>
      </c>
      <c r="E508" s="15">
        <v>10556.0</v>
      </c>
      <c r="F508" s="19">
        <v>0.9991481306199717</v>
      </c>
      <c r="G508" s="15">
        <v>0.0</v>
      </c>
      <c r="H508" s="15">
        <v>0.0</v>
      </c>
      <c r="I508" s="15">
        <v>9.0</v>
      </c>
      <c r="J508" s="15">
        <v>0.0</v>
      </c>
      <c r="K508" s="15">
        <v>0.0</v>
      </c>
      <c r="L508" s="17"/>
      <c r="M508" s="20" t="s">
        <v>2189</v>
      </c>
    </row>
    <row r="509" ht="15.75" customHeight="1">
      <c r="A509" s="14" t="s">
        <v>97</v>
      </c>
      <c r="B509" s="15">
        <v>391.0</v>
      </c>
      <c r="C509" s="17" t="s">
        <v>1914</v>
      </c>
      <c r="D509" s="16" t="s">
        <v>68</v>
      </c>
      <c r="E509" s="15">
        <v>10556.0</v>
      </c>
      <c r="F509" s="19">
        <v>0.9991481306199717</v>
      </c>
      <c r="G509" s="15">
        <v>1.0</v>
      </c>
      <c r="H509" s="15">
        <v>0.0</v>
      </c>
      <c r="I509" s="15">
        <v>2.0</v>
      </c>
      <c r="J509" s="15">
        <v>0.0</v>
      </c>
      <c r="K509" s="15">
        <v>0.0</v>
      </c>
      <c r="L509" s="17"/>
      <c r="M509" s="20" t="s">
        <v>1733</v>
      </c>
    </row>
    <row r="510" ht="15.75" customHeight="1">
      <c r="A510" s="14" t="s">
        <v>97</v>
      </c>
      <c r="B510" s="15">
        <v>392.0</v>
      </c>
      <c r="C510" s="17" t="s">
        <v>2194</v>
      </c>
      <c r="D510" s="16" t="s">
        <v>68</v>
      </c>
      <c r="E510" s="15">
        <v>10556.0</v>
      </c>
      <c r="F510" s="19">
        <v>0.9991481306199717</v>
      </c>
      <c r="G510" s="15">
        <v>0.0</v>
      </c>
      <c r="H510" s="15">
        <v>0.0</v>
      </c>
      <c r="I510" s="15">
        <v>1.0</v>
      </c>
      <c r="J510" s="15">
        <v>0.0</v>
      </c>
      <c r="K510" s="15">
        <v>0.0</v>
      </c>
      <c r="L510" s="17"/>
      <c r="M510" s="20" t="s">
        <v>1214</v>
      </c>
    </row>
    <row r="511" ht="15.75" customHeight="1">
      <c r="A511" s="14" t="s">
        <v>97</v>
      </c>
      <c r="B511" s="15">
        <v>393.0</v>
      </c>
      <c r="C511" s="17" t="s">
        <v>2196</v>
      </c>
      <c r="D511" s="16" t="s">
        <v>68</v>
      </c>
      <c r="E511" s="15">
        <v>10564.0</v>
      </c>
      <c r="F511" s="19">
        <v>0.9999053478466635</v>
      </c>
      <c r="G511" s="15">
        <v>0.0</v>
      </c>
      <c r="H511" s="15">
        <v>0.0</v>
      </c>
      <c r="I511" s="15">
        <v>1.0</v>
      </c>
      <c r="J511" s="15">
        <v>0.0</v>
      </c>
      <c r="K511" s="15">
        <v>0.0</v>
      </c>
      <c r="L511" s="17"/>
      <c r="M511" s="20" t="s">
        <v>2186</v>
      </c>
    </row>
    <row r="512" ht="15.75" customHeight="1">
      <c r="A512" s="14" t="s">
        <v>97</v>
      </c>
      <c r="B512" s="15">
        <v>394.0</v>
      </c>
      <c r="C512" s="17" t="s">
        <v>2197</v>
      </c>
      <c r="D512" s="16" t="s">
        <v>68</v>
      </c>
      <c r="E512" s="15">
        <v>10560.0</v>
      </c>
      <c r="F512" s="19">
        <v>0.9995267392333176</v>
      </c>
      <c r="G512" s="15">
        <v>0.0</v>
      </c>
      <c r="H512" s="15">
        <v>0.0</v>
      </c>
      <c r="I512" s="15">
        <v>5.0</v>
      </c>
      <c r="J512" s="15">
        <v>0.0</v>
      </c>
      <c r="K512" s="15">
        <v>0.0</v>
      </c>
      <c r="L512" s="17"/>
      <c r="M512" s="20" t="s">
        <v>2198</v>
      </c>
    </row>
    <row r="513" ht="15.75" customHeight="1">
      <c r="A513" s="14" t="s">
        <v>97</v>
      </c>
      <c r="B513" s="15">
        <v>395.0</v>
      </c>
      <c r="C513" s="17" t="s">
        <v>2202</v>
      </c>
      <c r="D513" s="16" t="s">
        <v>68</v>
      </c>
      <c r="E513" s="15">
        <v>10560.0</v>
      </c>
      <c r="F513" s="19">
        <v>0.9995267392333176</v>
      </c>
      <c r="G513" s="15">
        <v>0.0</v>
      </c>
      <c r="H513" s="15">
        <v>0.0</v>
      </c>
      <c r="I513" s="15">
        <v>1.0</v>
      </c>
      <c r="J513" s="15">
        <v>0.0</v>
      </c>
      <c r="K513" s="15">
        <v>0.0</v>
      </c>
      <c r="L513" s="17"/>
      <c r="M513" s="20" t="s">
        <v>1747</v>
      </c>
    </row>
    <row r="514" ht="15.75" customHeight="1">
      <c r="A514" s="14" t="s">
        <v>97</v>
      </c>
      <c r="B514" s="15">
        <v>396.0</v>
      </c>
      <c r="C514" s="17" t="s">
        <v>2205</v>
      </c>
      <c r="D514" s="16" t="s">
        <v>68</v>
      </c>
      <c r="E514" s="15">
        <v>10560.0</v>
      </c>
      <c r="F514" s="19">
        <v>0.9995267392333176</v>
      </c>
      <c r="G514" s="15">
        <v>0.0</v>
      </c>
      <c r="H514" s="15">
        <v>0.0</v>
      </c>
      <c r="I514" s="15">
        <v>1.0</v>
      </c>
      <c r="J514" s="15">
        <v>0.0</v>
      </c>
      <c r="K514" s="15">
        <v>0.0</v>
      </c>
      <c r="L514" s="17"/>
      <c r="M514" s="20" t="s">
        <v>1214</v>
      </c>
    </row>
    <row r="515" ht="15.75" customHeight="1">
      <c r="A515" s="14" t="s">
        <v>97</v>
      </c>
      <c r="B515" s="15">
        <v>397.0</v>
      </c>
      <c r="C515" s="17" t="s">
        <v>2207</v>
      </c>
      <c r="D515" s="16" t="s">
        <v>68</v>
      </c>
      <c r="E515" s="15">
        <v>10563.0</v>
      </c>
      <c r="F515" s="19">
        <v>0.999810695693327</v>
      </c>
      <c r="G515" s="15">
        <v>0.0</v>
      </c>
      <c r="H515" s="15">
        <v>0.0</v>
      </c>
      <c r="I515" s="15">
        <v>2.0</v>
      </c>
      <c r="J515" s="15">
        <v>0.0</v>
      </c>
      <c r="K515" s="15">
        <v>0.0</v>
      </c>
      <c r="L515" s="17"/>
      <c r="M515" s="20" t="s">
        <v>2208</v>
      </c>
    </row>
    <row r="516" ht="15.75" customHeight="1">
      <c r="A516" s="14" t="s">
        <v>97</v>
      </c>
      <c r="B516" s="15">
        <v>398.0</v>
      </c>
      <c r="C516" s="17" t="s">
        <v>2212</v>
      </c>
      <c r="D516" s="16" t="s">
        <v>68</v>
      </c>
      <c r="E516" s="15">
        <v>10563.0</v>
      </c>
      <c r="F516" s="19">
        <v>0.999810695693327</v>
      </c>
      <c r="G516" s="15">
        <v>0.0</v>
      </c>
      <c r="H516" s="15">
        <v>0.0</v>
      </c>
      <c r="I516" s="15">
        <v>1.0</v>
      </c>
      <c r="J516" s="15">
        <v>0.0</v>
      </c>
      <c r="K516" s="15">
        <v>0.0</v>
      </c>
      <c r="L516" s="17"/>
      <c r="M516" s="20" t="s">
        <v>1747</v>
      </c>
    </row>
    <row r="517" ht="15.75" customHeight="1">
      <c r="A517" s="14" t="s">
        <v>97</v>
      </c>
      <c r="B517" s="15">
        <v>399.0</v>
      </c>
      <c r="C517" s="17" t="s">
        <v>2214</v>
      </c>
      <c r="D517" s="16" t="s">
        <v>68</v>
      </c>
      <c r="E517" s="15">
        <v>10563.0</v>
      </c>
      <c r="F517" s="19">
        <v>0.999810695693327</v>
      </c>
      <c r="G517" s="15">
        <v>0.0</v>
      </c>
      <c r="H517" s="15">
        <v>0.0</v>
      </c>
      <c r="I517" s="15">
        <v>1.0</v>
      </c>
      <c r="J517" s="15">
        <v>0.0</v>
      </c>
      <c r="K517" s="15">
        <v>0.0</v>
      </c>
      <c r="L517" s="17"/>
      <c r="M517" s="20" t="s">
        <v>1214</v>
      </c>
    </row>
    <row r="518" ht="15.75" customHeight="1">
      <c r="A518" s="14" t="s">
        <v>97</v>
      </c>
      <c r="B518" s="15">
        <v>400.0</v>
      </c>
      <c r="C518" s="17" t="s">
        <v>682</v>
      </c>
      <c r="D518" s="16" t="s">
        <v>458</v>
      </c>
      <c r="E518" s="15">
        <v>8123.0</v>
      </c>
      <c r="F518" s="19">
        <v>0.7688594415522954</v>
      </c>
      <c r="G518" s="15">
        <v>0.0</v>
      </c>
      <c r="H518" s="15">
        <v>0.0</v>
      </c>
      <c r="I518" s="15">
        <v>2242.0</v>
      </c>
      <c r="J518" s="15">
        <v>0.0</v>
      </c>
      <c r="K518" s="15">
        <v>0.0</v>
      </c>
      <c r="L518" s="17"/>
      <c r="M518" s="20" t="s">
        <v>2216</v>
      </c>
    </row>
    <row r="519" ht="15.75" customHeight="1">
      <c r="A519" s="14" t="s">
        <v>97</v>
      </c>
      <c r="B519" s="15">
        <v>401.0</v>
      </c>
      <c r="C519" s="17" t="s">
        <v>2218</v>
      </c>
      <c r="D519" s="16" t="s">
        <v>458</v>
      </c>
      <c r="E519" s="15">
        <v>10512.0</v>
      </c>
      <c r="F519" s="19">
        <v>0.9949834358731661</v>
      </c>
      <c r="G519" s="15">
        <v>0.0</v>
      </c>
      <c r="H519" s="15">
        <v>0.0</v>
      </c>
      <c r="I519" s="15">
        <v>50.0</v>
      </c>
      <c r="J519" s="15">
        <v>0.0</v>
      </c>
      <c r="K519" s="15">
        <v>0.0</v>
      </c>
      <c r="L519" s="17"/>
      <c r="M519" s="20" t="s">
        <v>2219</v>
      </c>
    </row>
    <row r="520" ht="15.75" customHeight="1">
      <c r="A520" s="14" t="s">
        <v>97</v>
      </c>
      <c r="B520" s="15">
        <v>402.0</v>
      </c>
      <c r="C520" s="17" t="s">
        <v>2223</v>
      </c>
      <c r="D520" s="16" t="s">
        <v>458</v>
      </c>
      <c r="E520" s="15">
        <v>10559.0</v>
      </c>
      <c r="F520" s="19">
        <v>0.9994320870799811</v>
      </c>
      <c r="G520" s="15">
        <v>0.0</v>
      </c>
      <c r="H520" s="15">
        <v>0.0</v>
      </c>
      <c r="I520" s="15">
        <v>6.0</v>
      </c>
      <c r="J520" s="15">
        <v>0.0</v>
      </c>
      <c r="K520" s="15">
        <v>0.0</v>
      </c>
      <c r="L520" s="17"/>
      <c r="M520" s="20" t="s">
        <v>2224</v>
      </c>
    </row>
    <row r="521" ht="15.75" customHeight="1">
      <c r="A521" s="14" t="s">
        <v>97</v>
      </c>
      <c r="B521" s="15">
        <v>403.0</v>
      </c>
      <c r="C521" s="17" t="s">
        <v>2227</v>
      </c>
      <c r="D521" s="16" t="s">
        <v>458</v>
      </c>
      <c r="E521" s="15">
        <v>10561.0</v>
      </c>
      <c r="F521" s="19">
        <v>0.9996213913866541</v>
      </c>
      <c r="G521" s="15">
        <v>0.0</v>
      </c>
      <c r="H521" s="15">
        <v>0.0</v>
      </c>
      <c r="I521" s="15">
        <v>4.0</v>
      </c>
      <c r="J521" s="15">
        <v>0.0</v>
      </c>
      <c r="K521" s="15">
        <v>0.0</v>
      </c>
      <c r="L521" s="17"/>
      <c r="M521" s="20" t="s">
        <v>2229</v>
      </c>
    </row>
    <row r="522" ht="15.75" customHeight="1">
      <c r="A522" s="14" t="s">
        <v>97</v>
      </c>
      <c r="B522" s="15">
        <v>404.0</v>
      </c>
      <c r="C522" s="17" t="s">
        <v>409</v>
      </c>
      <c r="D522" s="16" t="s">
        <v>68</v>
      </c>
      <c r="E522" s="15">
        <v>8153.0</v>
      </c>
      <c r="F522" s="19">
        <v>0.77169900615239</v>
      </c>
      <c r="G522" s="15">
        <v>0.0</v>
      </c>
      <c r="H522" s="15">
        <v>0.0</v>
      </c>
      <c r="I522" s="15">
        <v>2204.0</v>
      </c>
      <c r="J522" s="15">
        <v>5.0</v>
      </c>
      <c r="K522" s="15">
        <v>94.0</v>
      </c>
      <c r="L522" s="17"/>
      <c r="M522" s="20" t="s">
        <v>2232</v>
      </c>
    </row>
    <row r="523" ht="15.75" customHeight="1">
      <c r="A523" s="14" t="s">
        <v>97</v>
      </c>
      <c r="B523" s="15">
        <v>405.0</v>
      </c>
      <c r="C523" s="17" t="s">
        <v>1379</v>
      </c>
      <c r="D523" s="16" t="s">
        <v>68</v>
      </c>
      <c r="E523" s="15">
        <v>8153.0</v>
      </c>
      <c r="F523" s="19">
        <v>0.77169900615239</v>
      </c>
      <c r="G523" s="15">
        <v>2403.0</v>
      </c>
      <c r="H523" s="15">
        <v>0.0</v>
      </c>
      <c r="I523" s="15">
        <v>4.0</v>
      </c>
      <c r="J523" s="15">
        <v>1.0</v>
      </c>
      <c r="K523" s="15">
        <v>0.0</v>
      </c>
      <c r="L523" s="17"/>
      <c r="M523" s="20" t="s">
        <v>2156</v>
      </c>
    </row>
    <row r="524" ht="15.75" customHeight="1">
      <c r="A524" s="14" t="s">
        <v>97</v>
      </c>
      <c r="B524" s="15">
        <v>406.0</v>
      </c>
      <c r="C524" s="17" t="s">
        <v>2237</v>
      </c>
      <c r="D524" s="16" t="s">
        <v>138</v>
      </c>
      <c r="E524" s="15">
        <v>8153.0</v>
      </c>
      <c r="F524" s="19">
        <v>0.77169900615239</v>
      </c>
      <c r="G524" s="15">
        <v>0.0</v>
      </c>
      <c r="H524" s="15">
        <v>0.0</v>
      </c>
      <c r="I524" s="15">
        <v>3.0</v>
      </c>
      <c r="J524" s="15">
        <v>0.0</v>
      </c>
      <c r="K524" s="15">
        <v>0.0</v>
      </c>
      <c r="L524" s="17"/>
      <c r="M524" s="20" t="s">
        <v>1884</v>
      </c>
    </row>
    <row r="525" ht="15.75" customHeight="1">
      <c r="A525" s="14" t="s">
        <v>97</v>
      </c>
      <c r="B525" s="15">
        <v>407.0</v>
      </c>
      <c r="C525" s="17" t="s">
        <v>2239</v>
      </c>
      <c r="D525" s="16" t="s">
        <v>357</v>
      </c>
      <c r="E525" s="15">
        <v>8153.0</v>
      </c>
      <c r="F525" s="19">
        <v>0.77169900615239</v>
      </c>
      <c r="G525" s="15">
        <v>0.0</v>
      </c>
      <c r="H525" s="15">
        <v>0.0</v>
      </c>
      <c r="I525" s="15">
        <v>2.0</v>
      </c>
      <c r="J525" s="15">
        <v>0.0</v>
      </c>
      <c r="K525" s="15">
        <v>0.0</v>
      </c>
      <c r="L525" s="17"/>
      <c r="M525" s="20" t="s">
        <v>930</v>
      </c>
    </row>
    <row r="526" ht="15.75" customHeight="1">
      <c r="A526" s="14" t="s">
        <v>97</v>
      </c>
      <c r="B526" s="15">
        <v>408.0</v>
      </c>
      <c r="C526" s="17" t="s">
        <v>2240</v>
      </c>
      <c r="D526" s="16" t="s">
        <v>357</v>
      </c>
      <c r="E526" s="15">
        <v>8153.0</v>
      </c>
      <c r="F526" s="19">
        <v>0.77169900615239</v>
      </c>
      <c r="G526" s="15">
        <v>0.0</v>
      </c>
      <c r="H526" s="15">
        <v>0.0</v>
      </c>
      <c r="I526" s="15">
        <v>1.0</v>
      </c>
      <c r="J526" s="15">
        <v>0.0</v>
      </c>
      <c r="K526" s="15">
        <v>0.0</v>
      </c>
      <c r="L526" s="17"/>
      <c r="M526" s="20" t="s">
        <v>75</v>
      </c>
    </row>
    <row r="527" ht="15.75" customHeight="1">
      <c r="A527" s="14" t="s">
        <v>97</v>
      </c>
      <c r="B527" s="15">
        <v>409.0</v>
      </c>
      <c r="C527" s="17" t="s">
        <v>2242</v>
      </c>
      <c r="D527" s="16" t="s">
        <v>68</v>
      </c>
      <c r="E527" s="15">
        <v>8226.0</v>
      </c>
      <c r="F527" s="19">
        <v>0.7786086133459537</v>
      </c>
      <c r="G527" s="15">
        <v>0.0</v>
      </c>
      <c r="H527" s="15">
        <v>0.0</v>
      </c>
      <c r="I527" s="15">
        <v>5.0</v>
      </c>
      <c r="J527" s="15">
        <v>0.0</v>
      </c>
      <c r="K527" s="15">
        <v>0.0</v>
      </c>
      <c r="L527" s="17"/>
      <c r="M527" s="20" t="s">
        <v>1959</v>
      </c>
    </row>
    <row r="528" ht="15.75" customHeight="1">
      <c r="A528" s="14" t="s">
        <v>97</v>
      </c>
      <c r="B528" s="15">
        <v>410.0</v>
      </c>
      <c r="C528" s="17" t="s">
        <v>2243</v>
      </c>
      <c r="D528" s="16" t="s">
        <v>138</v>
      </c>
      <c r="E528" s="15">
        <v>10564.0</v>
      </c>
      <c r="F528" s="19">
        <v>0.9999053478466635</v>
      </c>
      <c r="G528" s="15">
        <v>0.0</v>
      </c>
      <c r="H528" s="15">
        <v>0.0</v>
      </c>
      <c r="I528" s="15">
        <v>1.0</v>
      </c>
      <c r="J528" s="15">
        <v>0.0</v>
      </c>
      <c r="K528" s="15">
        <v>0.0</v>
      </c>
      <c r="L528" s="17"/>
      <c r="M528" s="20" t="s">
        <v>2244</v>
      </c>
    </row>
    <row r="529" ht="15.75" customHeight="1">
      <c r="A529" s="14" t="s">
        <v>97</v>
      </c>
      <c r="B529" s="15">
        <v>411.0</v>
      </c>
      <c r="C529" s="17" t="s">
        <v>2245</v>
      </c>
      <c r="D529" s="16" t="s">
        <v>458</v>
      </c>
      <c r="E529" s="15">
        <v>10563.0</v>
      </c>
      <c r="F529" s="19">
        <v>0.999810695693327</v>
      </c>
      <c r="G529" s="15">
        <v>0.0</v>
      </c>
      <c r="H529" s="15">
        <v>0.0</v>
      </c>
      <c r="I529" s="15">
        <v>2.0</v>
      </c>
      <c r="J529" s="15">
        <v>0.0</v>
      </c>
      <c r="K529" s="15">
        <v>0.0</v>
      </c>
      <c r="L529" s="17"/>
      <c r="M529" s="20" t="s">
        <v>2246</v>
      </c>
    </row>
    <row r="530" ht="15.75" customHeight="1">
      <c r="A530" s="14" t="s">
        <v>97</v>
      </c>
      <c r="B530" s="15">
        <v>412.0</v>
      </c>
      <c r="C530" s="17" t="s">
        <v>1794</v>
      </c>
      <c r="D530" s="16" t="s">
        <v>68</v>
      </c>
      <c r="E530" s="15">
        <v>8183.0</v>
      </c>
      <c r="F530" s="19">
        <v>0.7745385707524847</v>
      </c>
      <c r="G530" s="15">
        <v>0.0</v>
      </c>
      <c r="H530" s="15">
        <v>0.0</v>
      </c>
      <c r="I530" s="15">
        <v>2222.0</v>
      </c>
      <c r="J530" s="15">
        <v>0.0</v>
      </c>
      <c r="K530" s="15">
        <v>0.0</v>
      </c>
      <c r="L530" s="17"/>
      <c r="M530" s="20" t="s">
        <v>2247</v>
      </c>
    </row>
    <row r="531" ht="15.75" customHeight="1">
      <c r="A531" s="14" t="s">
        <v>97</v>
      </c>
      <c r="B531" s="15">
        <v>413.0</v>
      </c>
      <c r="C531" s="17" t="s">
        <v>1375</v>
      </c>
      <c r="D531" s="16" t="s">
        <v>68</v>
      </c>
      <c r="E531" s="15">
        <v>8183.0</v>
      </c>
      <c r="F531" s="19">
        <v>0.7745385707524847</v>
      </c>
      <c r="G531" s="15">
        <v>2357.0</v>
      </c>
      <c r="H531" s="15">
        <v>0.0</v>
      </c>
      <c r="I531" s="15">
        <v>5.0</v>
      </c>
      <c r="J531" s="15">
        <v>1.0</v>
      </c>
      <c r="K531" s="15">
        <v>0.0</v>
      </c>
      <c r="L531" s="17"/>
      <c r="M531" s="20" t="s">
        <v>1656</v>
      </c>
    </row>
    <row r="532" ht="15.75" customHeight="1">
      <c r="A532" s="14" t="s">
        <v>97</v>
      </c>
      <c r="B532" s="15">
        <v>414.0</v>
      </c>
      <c r="C532" s="17" t="s">
        <v>2249</v>
      </c>
      <c r="D532" s="16" t="s">
        <v>68</v>
      </c>
      <c r="E532" s="15">
        <v>8183.0</v>
      </c>
      <c r="F532" s="19">
        <v>0.7745385707524847</v>
      </c>
      <c r="G532" s="15">
        <v>0.0</v>
      </c>
      <c r="H532" s="15">
        <v>0.0</v>
      </c>
      <c r="I532" s="15">
        <v>3.0</v>
      </c>
      <c r="J532" s="15">
        <v>0.0</v>
      </c>
      <c r="K532" s="15">
        <v>0.0</v>
      </c>
      <c r="L532" s="17"/>
      <c r="M532" s="20" t="s">
        <v>1148</v>
      </c>
    </row>
    <row r="533" ht="15.75" customHeight="1">
      <c r="A533" s="14" t="s">
        <v>97</v>
      </c>
      <c r="B533" s="15">
        <v>415.0</v>
      </c>
      <c r="C533" s="17" t="s">
        <v>2250</v>
      </c>
      <c r="D533" s="16" t="s">
        <v>68</v>
      </c>
      <c r="E533" s="15">
        <v>8264.0</v>
      </c>
      <c r="F533" s="19">
        <v>0.7822053951727401</v>
      </c>
      <c r="G533" s="15">
        <v>0.0</v>
      </c>
      <c r="H533" s="15">
        <v>0.0</v>
      </c>
      <c r="I533" s="15">
        <v>1.0</v>
      </c>
      <c r="J533" s="15">
        <v>0.0</v>
      </c>
      <c r="K533" s="15">
        <v>0.0</v>
      </c>
      <c r="L533" s="17"/>
      <c r="M533" s="20" t="s">
        <v>2186</v>
      </c>
    </row>
    <row r="534" ht="15.75" customHeight="1">
      <c r="A534" s="14" t="s">
        <v>97</v>
      </c>
      <c r="B534" s="15">
        <v>416.0</v>
      </c>
      <c r="C534" s="17" t="s">
        <v>1796</v>
      </c>
      <c r="D534" s="16" t="s">
        <v>68</v>
      </c>
      <c r="E534" s="15">
        <v>10510.0</v>
      </c>
      <c r="F534" s="19">
        <v>0.9947941315664931</v>
      </c>
      <c r="G534" s="15">
        <v>0.0</v>
      </c>
      <c r="H534" s="15">
        <v>0.0</v>
      </c>
      <c r="I534" s="15">
        <v>55.0</v>
      </c>
      <c r="J534" s="15">
        <v>0.0</v>
      </c>
      <c r="K534" s="15">
        <v>0.0</v>
      </c>
      <c r="L534" s="17"/>
      <c r="M534" s="20" t="s">
        <v>2251</v>
      </c>
    </row>
    <row r="535" ht="15.75" customHeight="1">
      <c r="A535" s="14" t="s">
        <v>97</v>
      </c>
      <c r="B535" s="15">
        <v>417.0</v>
      </c>
      <c r="C535" s="17" t="s">
        <v>1916</v>
      </c>
      <c r="D535" s="16" t="s">
        <v>68</v>
      </c>
      <c r="E535" s="15">
        <v>10510.0</v>
      </c>
      <c r="F535" s="19">
        <v>0.9947941315664931</v>
      </c>
      <c r="G535" s="15">
        <v>44.0</v>
      </c>
      <c r="H535" s="15">
        <v>0.0</v>
      </c>
      <c r="I535" s="15">
        <v>2.0</v>
      </c>
      <c r="J535" s="15">
        <v>0.0</v>
      </c>
      <c r="K535" s="15">
        <v>0.0</v>
      </c>
      <c r="L535" s="17"/>
      <c r="M535" s="20" t="s">
        <v>2180</v>
      </c>
    </row>
    <row r="536" ht="15.75" customHeight="1">
      <c r="A536" s="14" t="s">
        <v>97</v>
      </c>
      <c r="B536" s="15">
        <v>418.0</v>
      </c>
      <c r="C536" s="17" t="s">
        <v>2253</v>
      </c>
      <c r="D536" s="16" t="s">
        <v>68</v>
      </c>
      <c r="E536" s="15">
        <v>10510.0</v>
      </c>
      <c r="F536" s="19">
        <v>0.9947941315664931</v>
      </c>
      <c r="G536" s="15">
        <v>0.0</v>
      </c>
      <c r="H536" s="15">
        <v>0.0</v>
      </c>
      <c r="I536" s="15">
        <v>1.0</v>
      </c>
      <c r="J536" s="15">
        <v>0.0</v>
      </c>
      <c r="K536" s="15">
        <v>0.0</v>
      </c>
      <c r="L536" s="17"/>
      <c r="M536" s="20" t="s">
        <v>1214</v>
      </c>
    </row>
    <row r="537" ht="15.75" customHeight="1">
      <c r="A537" s="14" t="s">
        <v>97</v>
      </c>
      <c r="B537" s="15">
        <v>419.0</v>
      </c>
      <c r="C537" s="17" t="s">
        <v>2254</v>
      </c>
      <c r="D537" s="16" t="s">
        <v>68</v>
      </c>
      <c r="E537" s="15">
        <v>10523.0</v>
      </c>
      <c r="F537" s="19">
        <v>0.9960246095598675</v>
      </c>
      <c r="G537" s="15">
        <v>0.0</v>
      </c>
      <c r="H537" s="15">
        <v>0.0</v>
      </c>
      <c r="I537" s="15">
        <v>1.0</v>
      </c>
      <c r="J537" s="15">
        <v>0.0</v>
      </c>
      <c r="K537" s="15">
        <v>0.0</v>
      </c>
      <c r="L537" s="17"/>
      <c r="M537" s="20" t="s">
        <v>2186</v>
      </c>
    </row>
    <row r="538" ht="15.75" customHeight="1">
      <c r="A538" s="14" t="s">
        <v>97</v>
      </c>
      <c r="B538" s="15">
        <v>420.0</v>
      </c>
      <c r="C538" s="17" t="s">
        <v>1799</v>
      </c>
      <c r="D538" s="16" t="s">
        <v>68</v>
      </c>
      <c r="E538" s="15">
        <v>10554.0</v>
      </c>
      <c r="F538" s="19">
        <v>0.9989588263132986</v>
      </c>
      <c r="G538" s="15">
        <v>0.0</v>
      </c>
      <c r="H538" s="15">
        <v>0.0</v>
      </c>
      <c r="I538" s="15">
        <v>11.0</v>
      </c>
      <c r="J538" s="15">
        <v>0.0</v>
      </c>
      <c r="K538" s="15">
        <v>0.0</v>
      </c>
      <c r="L538" s="17"/>
      <c r="M538" s="20" t="s">
        <v>2255</v>
      </c>
    </row>
    <row r="539" ht="15.75" customHeight="1">
      <c r="A539" s="14" t="s">
        <v>97</v>
      </c>
      <c r="B539" s="15">
        <v>421.0</v>
      </c>
      <c r="C539" s="17" t="s">
        <v>1919</v>
      </c>
      <c r="D539" s="16" t="s">
        <v>68</v>
      </c>
      <c r="E539" s="15">
        <v>10554.0</v>
      </c>
      <c r="F539" s="19">
        <v>0.9989588263132986</v>
      </c>
      <c r="G539" s="15">
        <v>3.0</v>
      </c>
      <c r="H539" s="15">
        <v>0.0</v>
      </c>
      <c r="I539" s="15">
        <v>2.0</v>
      </c>
      <c r="J539" s="15">
        <v>0.0</v>
      </c>
      <c r="K539" s="15">
        <v>0.0</v>
      </c>
      <c r="L539" s="17"/>
      <c r="M539" s="20" t="s">
        <v>1733</v>
      </c>
    </row>
    <row r="540" ht="15.75" customHeight="1">
      <c r="A540" s="14" t="s">
        <v>97</v>
      </c>
      <c r="B540" s="15">
        <v>422.0</v>
      </c>
      <c r="C540" s="17" t="s">
        <v>1377</v>
      </c>
      <c r="D540" s="16" t="s">
        <v>68</v>
      </c>
      <c r="E540" s="15">
        <v>10554.0</v>
      </c>
      <c r="F540" s="19">
        <v>0.9989588263132986</v>
      </c>
      <c r="G540" s="15">
        <v>0.0</v>
      </c>
      <c r="H540" s="15">
        <v>0.0</v>
      </c>
      <c r="I540" s="15">
        <v>2.0</v>
      </c>
      <c r="J540" s="15">
        <v>1.0</v>
      </c>
      <c r="K540" s="15">
        <v>0.0</v>
      </c>
      <c r="L540" s="17"/>
      <c r="M540" s="20" t="s">
        <v>2257</v>
      </c>
    </row>
    <row r="541" ht="15.75" customHeight="1">
      <c r="A541" s="14" t="s">
        <v>97</v>
      </c>
      <c r="B541" s="15">
        <v>423.0</v>
      </c>
      <c r="C541" s="17" t="s">
        <v>2258</v>
      </c>
      <c r="D541" s="16" t="s">
        <v>68</v>
      </c>
      <c r="E541" s="15">
        <v>10564.0</v>
      </c>
      <c r="F541" s="19">
        <v>0.9999053478466635</v>
      </c>
      <c r="G541" s="15">
        <v>0.0</v>
      </c>
      <c r="H541" s="15">
        <v>0.0</v>
      </c>
      <c r="I541" s="15">
        <v>1.0</v>
      </c>
      <c r="J541" s="15">
        <v>0.0</v>
      </c>
      <c r="K541" s="15">
        <v>0.0</v>
      </c>
      <c r="L541" s="17"/>
      <c r="M541" s="20" t="s">
        <v>2186</v>
      </c>
    </row>
    <row r="542" ht="15.75" customHeight="1">
      <c r="A542" s="14" t="s">
        <v>97</v>
      </c>
      <c r="B542" s="15">
        <v>424.0</v>
      </c>
      <c r="C542" s="17" t="s">
        <v>2259</v>
      </c>
      <c r="D542" s="16" t="s">
        <v>68</v>
      </c>
      <c r="E542" s="15">
        <v>10559.0</v>
      </c>
      <c r="F542" s="19">
        <v>0.9994320870799811</v>
      </c>
      <c r="G542" s="15">
        <v>0.0</v>
      </c>
      <c r="H542" s="15">
        <v>0.0</v>
      </c>
      <c r="I542" s="15">
        <v>6.0</v>
      </c>
      <c r="J542" s="15">
        <v>0.0</v>
      </c>
      <c r="K542" s="15">
        <v>0.0</v>
      </c>
      <c r="L542" s="17"/>
      <c r="M542" s="20" t="s">
        <v>2260</v>
      </c>
    </row>
    <row r="543" ht="15.75" customHeight="1">
      <c r="A543" s="14" t="s">
        <v>97</v>
      </c>
      <c r="B543" s="15">
        <v>425.0</v>
      </c>
      <c r="C543" s="17" t="s">
        <v>1921</v>
      </c>
      <c r="D543" s="16" t="s">
        <v>68</v>
      </c>
      <c r="E543" s="15">
        <v>10559.0</v>
      </c>
      <c r="F543" s="19">
        <v>0.9994320870799811</v>
      </c>
      <c r="G543" s="15">
        <v>1.0</v>
      </c>
      <c r="H543" s="15">
        <v>0.0</v>
      </c>
      <c r="I543" s="15">
        <v>2.0</v>
      </c>
      <c r="J543" s="15">
        <v>0.0</v>
      </c>
      <c r="K543" s="15">
        <v>0.0</v>
      </c>
      <c r="L543" s="17"/>
      <c r="M543" s="20" t="s">
        <v>1733</v>
      </c>
    </row>
    <row r="544" ht="15.75" customHeight="1">
      <c r="A544" s="14" t="s">
        <v>97</v>
      </c>
      <c r="B544" s="15">
        <v>426.0</v>
      </c>
      <c r="C544" s="17" t="s">
        <v>2262</v>
      </c>
      <c r="D544" s="16" t="s">
        <v>68</v>
      </c>
      <c r="E544" s="15">
        <v>10559.0</v>
      </c>
      <c r="F544" s="19">
        <v>0.9994320870799811</v>
      </c>
      <c r="G544" s="15">
        <v>0.0</v>
      </c>
      <c r="H544" s="15">
        <v>0.0</v>
      </c>
      <c r="I544" s="15">
        <v>1.0</v>
      </c>
      <c r="J544" s="15">
        <v>0.0</v>
      </c>
      <c r="K544" s="15">
        <v>0.0</v>
      </c>
      <c r="L544" s="17"/>
      <c r="M544" s="20" t="s">
        <v>1214</v>
      </c>
    </row>
    <row r="545" ht="15.75" customHeight="1">
      <c r="A545" s="14" t="s">
        <v>97</v>
      </c>
      <c r="B545" s="15">
        <v>427.0</v>
      </c>
      <c r="C545" s="17" t="s">
        <v>2263</v>
      </c>
      <c r="D545" s="16" t="s">
        <v>68</v>
      </c>
      <c r="E545" s="15">
        <v>10561.0</v>
      </c>
      <c r="F545" s="19">
        <v>0.9996213913866541</v>
      </c>
      <c r="G545" s="15">
        <v>0.0</v>
      </c>
      <c r="H545" s="15">
        <v>0.0</v>
      </c>
      <c r="I545" s="15">
        <v>4.0</v>
      </c>
      <c r="J545" s="15">
        <v>0.0</v>
      </c>
      <c r="K545" s="15">
        <v>0.0</v>
      </c>
      <c r="L545" s="17"/>
      <c r="M545" s="20" t="s">
        <v>2264</v>
      </c>
    </row>
    <row r="546" ht="15.75" customHeight="1">
      <c r="A546" s="14" t="s">
        <v>97</v>
      </c>
      <c r="B546" s="15">
        <v>428.0</v>
      </c>
      <c r="C546" s="17" t="s">
        <v>1922</v>
      </c>
      <c r="D546" s="16" t="s">
        <v>68</v>
      </c>
      <c r="E546" s="15">
        <v>10561.0</v>
      </c>
      <c r="F546" s="19">
        <v>0.9996213913866541</v>
      </c>
      <c r="G546" s="15">
        <v>1.0</v>
      </c>
      <c r="H546" s="15">
        <v>0.0</v>
      </c>
      <c r="I546" s="15">
        <v>2.0</v>
      </c>
      <c r="J546" s="15">
        <v>0.0</v>
      </c>
      <c r="K546" s="15">
        <v>0.0</v>
      </c>
      <c r="L546" s="17"/>
      <c r="M546" s="20" t="s">
        <v>1733</v>
      </c>
    </row>
    <row r="547" ht="15.75" customHeight="1">
      <c r="A547" s="14" t="s">
        <v>97</v>
      </c>
      <c r="B547" s="15">
        <v>429.0</v>
      </c>
      <c r="C547" s="17" t="s">
        <v>2266</v>
      </c>
      <c r="D547" s="16" t="s">
        <v>68</v>
      </c>
      <c r="E547" s="15">
        <v>10561.0</v>
      </c>
      <c r="F547" s="19">
        <v>0.9996213913866541</v>
      </c>
      <c r="G547" s="15">
        <v>0.0</v>
      </c>
      <c r="H547" s="15">
        <v>0.0</v>
      </c>
      <c r="I547" s="15">
        <v>1.0</v>
      </c>
      <c r="J547" s="15">
        <v>0.0</v>
      </c>
      <c r="K547" s="15">
        <v>0.0</v>
      </c>
      <c r="L547" s="17"/>
      <c r="M547" s="20" t="s">
        <v>1214</v>
      </c>
    </row>
    <row r="548" ht="15.75" customHeight="1">
      <c r="A548" s="14" t="s">
        <v>97</v>
      </c>
      <c r="B548" s="15">
        <v>430.0</v>
      </c>
      <c r="C548" s="17" t="s">
        <v>2267</v>
      </c>
      <c r="D548" s="16" t="s">
        <v>68</v>
      </c>
      <c r="E548" s="15">
        <v>10562.0</v>
      </c>
      <c r="F548" s="19">
        <v>0.9997160435399906</v>
      </c>
      <c r="G548" s="15">
        <v>0.0</v>
      </c>
      <c r="H548" s="15">
        <v>0.0</v>
      </c>
      <c r="I548" s="15">
        <v>3.0</v>
      </c>
      <c r="J548" s="15">
        <v>0.0</v>
      </c>
      <c r="K548" s="15">
        <v>0.0</v>
      </c>
      <c r="L548" s="17"/>
      <c r="M548" s="20" t="s">
        <v>2268</v>
      </c>
    </row>
    <row r="549" ht="15.75" customHeight="1">
      <c r="A549" s="14" t="s">
        <v>97</v>
      </c>
      <c r="B549" s="15">
        <v>431.0</v>
      </c>
      <c r="C549" s="17" t="s">
        <v>1924</v>
      </c>
      <c r="D549" s="16" t="s">
        <v>68</v>
      </c>
      <c r="E549" s="15">
        <v>10562.0</v>
      </c>
      <c r="F549" s="19">
        <v>0.9997160435399906</v>
      </c>
      <c r="G549" s="15">
        <v>1.0</v>
      </c>
      <c r="H549" s="15">
        <v>0.0</v>
      </c>
      <c r="I549" s="15">
        <v>2.0</v>
      </c>
      <c r="J549" s="15">
        <v>0.0</v>
      </c>
      <c r="K549" s="15">
        <v>0.0</v>
      </c>
      <c r="L549" s="17"/>
      <c r="M549" s="20" t="s">
        <v>1733</v>
      </c>
    </row>
    <row r="550" ht="15.75" customHeight="1">
      <c r="A550" s="14" t="s">
        <v>97</v>
      </c>
      <c r="B550" s="15">
        <v>432.0</v>
      </c>
      <c r="C550" s="17" t="s">
        <v>2270</v>
      </c>
      <c r="D550" s="16" t="s">
        <v>68</v>
      </c>
      <c r="E550" s="15">
        <v>10562.0</v>
      </c>
      <c r="F550" s="19">
        <v>0.9997160435399906</v>
      </c>
      <c r="G550" s="15">
        <v>0.0</v>
      </c>
      <c r="H550" s="15">
        <v>0.0</v>
      </c>
      <c r="I550" s="15">
        <v>1.0</v>
      </c>
      <c r="J550" s="15">
        <v>0.0</v>
      </c>
      <c r="K550" s="15">
        <v>0.0</v>
      </c>
      <c r="L550" s="17"/>
      <c r="M550" s="20" t="s">
        <v>1214</v>
      </c>
    </row>
    <row r="551" ht="15.75" customHeight="1">
      <c r="A551" s="14" t="s">
        <v>97</v>
      </c>
      <c r="B551" s="15">
        <v>433.0</v>
      </c>
      <c r="C551" s="17" t="s">
        <v>2273</v>
      </c>
      <c r="D551" s="16" t="s">
        <v>68</v>
      </c>
      <c r="E551" s="15">
        <v>10563.0</v>
      </c>
      <c r="F551" s="19">
        <v>0.999810695693327</v>
      </c>
      <c r="G551" s="15">
        <v>0.0</v>
      </c>
      <c r="H551" s="15">
        <v>0.0</v>
      </c>
      <c r="I551" s="15">
        <v>2.0</v>
      </c>
      <c r="J551" s="15">
        <v>0.0</v>
      </c>
      <c r="K551" s="15">
        <v>0.0</v>
      </c>
      <c r="L551" s="17"/>
      <c r="M551" s="20" t="s">
        <v>2274</v>
      </c>
    </row>
    <row r="552" ht="15.75" customHeight="1">
      <c r="A552" s="14" t="s">
        <v>97</v>
      </c>
      <c r="B552" s="15">
        <v>434.0</v>
      </c>
      <c r="C552" s="17" t="s">
        <v>1926</v>
      </c>
      <c r="D552" s="16" t="s">
        <v>68</v>
      </c>
      <c r="E552" s="15">
        <v>10563.0</v>
      </c>
      <c r="F552" s="19">
        <v>0.999810695693327</v>
      </c>
      <c r="G552" s="15">
        <v>1.0</v>
      </c>
      <c r="H552" s="15">
        <v>0.0</v>
      </c>
      <c r="I552" s="15">
        <v>2.0</v>
      </c>
      <c r="J552" s="15">
        <v>0.0</v>
      </c>
      <c r="K552" s="15">
        <v>0.0</v>
      </c>
      <c r="L552" s="17"/>
      <c r="M552" s="20" t="s">
        <v>2180</v>
      </c>
    </row>
    <row r="553" ht="15.75" customHeight="1">
      <c r="A553" s="14" t="s">
        <v>97</v>
      </c>
      <c r="B553" s="15">
        <v>435.0</v>
      </c>
      <c r="C553" s="17" t="s">
        <v>2278</v>
      </c>
      <c r="D553" s="16" t="s">
        <v>68</v>
      </c>
      <c r="E553" s="15">
        <v>10563.0</v>
      </c>
      <c r="F553" s="19">
        <v>0.999810695693327</v>
      </c>
      <c r="G553" s="15">
        <v>0.0</v>
      </c>
      <c r="H553" s="15">
        <v>0.0</v>
      </c>
      <c r="I553" s="15">
        <v>1.0</v>
      </c>
      <c r="J553" s="15">
        <v>0.0</v>
      </c>
      <c r="K553" s="15">
        <v>0.0</v>
      </c>
      <c r="L553" s="17"/>
      <c r="M553" s="20" t="s">
        <v>1214</v>
      </c>
    </row>
    <row r="554" ht="15.75" customHeight="1">
      <c r="A554" s="14" t="s">
        <v>97</v>
      </c>
      <c r="B554" s="15">
        <v>436.0</v>
      </c>
      <c r="C554" s="17" t="s">
        <v>2280</v>
      </c>
      <c r="D554" s="16" t="s">
        <v>68</v>
      </c>
      <c r="E554" s="15">
        <v>10563.0</v>
      </c>
      <c r="F554" s="19">
        <v>0.999810695693327</v>
      </c>
      <c r="G554" s="15">
        <v>0.0</v>
      </c>
      <c r="H554" s="15">
        <v>0.0</v>
      </c>
      <c r="I554" s="15">
        <v>2.0</v>
      </c>
      <c r="J554" s="15">
        <v>0.0</v>
      </c>
      <c r="K554" s="15">
        <v>0.0</v>
      </c>
      <c r="L554" s="17"/>
      <c r="M554" s="20" t="s">
        <v>2281</v>
      </c>
    </row>
    <row r="555" ht="15.75" customHeight="1">
      <c r="A555" s="14" t="s">
        <v>97</v>
      </c>
      <c r="B555" s="15">
        <v>437.0</v>
      </c>
      <c r="C555" s="17" t="s">
        <v>1929</v>
      </c>
      <c r="D555" s="16" t="s">
        <v>68</v>
      </c>
      <c r="E555" s="15">
        <v>10563.0</v>
      </c>
      <c r="F555" s="19">
        <v>0.999810695693327</v>
      </c>
      <c r="G555" s="15">
        <v>1.0</v>
      </c>
      <c r="H555" s="15">
        <v>0.0</v>
      </c>
      <c r="I555" s="15">
        <v>2.0</v>
      </c>
      <c r="J555" s="15">
        <v>0.0</v>
      </c>
      <c r="K555" s="15">
        <v>0.0</v>
      </c>
      <c r="L555" s="17"/>
      <c r="M555" s="20" t="s">
        <v>2180</v>
      </c>
    </row>
    <row r="556" ht="15.75" customHeight="1">
      <c r="A556" s="14" t="s">
        <v>97</v>
      </c>
      <c r="B556" s="15">
        <v>438.0</v>
      </c>
      <c r="C556" s="17" t="s">
        <v>2284</v>
      </c>
      <c r="D556" s="16" t="s">
        <v>68</v>
      </c>
      <c r="E556" s="15">
        <v>10563.0</v>
      </c>
      <c r="F556" s="19">
        <v>0.999810695693327</v>
      </c>
      <c r="G556" s="15">
        <v>0.0</v>
      </c>
      <c r="H556" s="15">
        <v>0.0</v>
      </c>
      <c r="I556" s="15">
        <v>1.0</v>
      </c>
      <c r="J556" s="15">
        <v>0.0</v>
      </c>
      <c r="K556" s="15">
        <v>0.0</v>
      </c>
      <c r="L556" s="17"/>
      <c r="M556" s="20" t="s">
        <v>1214</v>
      </c>
    </row>
    <row r="557" ht="15.75" customHeight="1">
      <c r="A557" s="14" t="s">
        <v>97</v>
      </c>
      <c r="B557" s="15">
        <v>439.0</v>
      </c>
      <c r="C557" s="17" t="s">
        <v>2285</v>
      </c>
      <c r="D557" s="16" t="s">
        <v>68</v>
      </c>
      <c r="E557" s="15">
        <v>10564.0</v>
      </c>
      <c r="F557" s="19">
        <v>0.9999053478466635</v>
      </c>
      <c r="G557" s="15">
        <v>0.0</v>
      </c>
      <c r="H557" s="15">
        <v>0.0</v>
      </c>
      <c r="I557" s="15">
        <v>1.0</v>
      </c>
      <c r="J557" s="15">
        <v>0.0</v>
      </c>
      <c r="K557" s="15">
        <v>0.0</v>
      </c>
      <c r="L557" s="17"/>
      <c r="M557" s="20" t="s">
        <v>2286</v>
      </c>
    </row>
    <row r="558" ht="15.75" customHeight="1">
      <c r="A558" s="14" t="s">
        <v>97</v>
      </c>
      <c r="B558" s="15">
        <v>440.0</v>
      </c>
      <c r="C558" s="17" t="s">
        <v>1931</v>
      </c>
      <c r="D558" s="16" t="s">
        <v>341</v>
      </c>
      <c r="E558" s="15">
        <v>10564.0</v>
      </c>
      <c r="F558" s="19">
        <v>0.9999053478466635</v>
      </c>
      <c r="G558" s="15">
        <v>1.0</v>
      </c>
      <c r="H558" s="15">
        <v>0.0</v>
      </c>
      <c r="I558" s="15">
        <v>1.0</v>
      </c>
      <c r="J558" s="15">
        <v>0.0</v>
      </c>
      <c r="K558" s="15">
        <v>0.0</v>
      </c>
      <c r="L558" s="17"/>
      <c r="M558" s="20" t="s">
        <v>1514</v>
      </c>
    </row>
    <row r="559" ht="15.75" customHeight="1">
      <c r="A559" s="14" t="s">
        <v>97</v>
      </c>
      <c r="B559" s="15">
        <v>441.0</v>
      </c>
      <c r="C559" s="17" t="s">
        <v>2288</v>
      </c>
      <c r="D559" s="16" t="s">
        <v>68</v>
      </c>
      <c r="E559" s="15">
        <v>10564.0</v>
      </c>
      <c r="F559" s="19">
        <v>0.9999053478466635</v>
      </c>
      <c r="G559" s="15">
        <v>0.0</v>
      </c>
      <c r="H559" s="15">
        <v>0.0</v>
      </c>
      <c r="I559" s="15">
        <v>1.0</v>
      </c>
      <c r="J559" s="15">
        <v>0.0</v>
      </c>
      <c r="K559" s="15">
        <v>0.0</v>
      </c>
      <c r="L559" s="17"/>
      <c r="M559" s="20" t="s">
        <v>1214</v>
      </c>
    </row>
    <row r="560" ht="15.75" customHeight="1">
      <c r="A560" s="14" t="s">
        <v>97</v>
      </c>
      <c r="B560" s="15">
        <v>442.0</v>
      </c>
      <c r="C560" s="17" t="s">
        <v>1787</v>
      </c>
      <c r="D560" s="16" t="s">
        <v>66</v>
      </c>
      <c r="E560" s="15">
        <v>10564.0</v>
      </c>
      <c r="F560" s="19">
        <v>0.9999053478466635</v>
      </c>
      <c r="G560" s="15">
        <v>0.0</v>
      </c>
      <c r="H560" s="15">
        <v>0.0</v>
      </c>
      <c r="I560" s="15">
        <v>1.0</v>
      </c>
      <c r="J560" s="15">
        <v>0.0</v>
      </c>
      <c r="K560" s="15">
        <v>0.0</v>
      </c>
      <c r="L560" s="17"/>
      <c r="M560" s="20" t="s">
        <v>2289</v>
      </c>
    </row>
    <row r="561" ht="15.75" customHeight="1">
      <c r="A561" s="14" t="s">
        <v>97</v>
      </c>
      <c r="B561" s="15">
        <v>443.0</v>
      </c>
      <c r="C561" s="17" t="s">
        <v>2291</v>
      </c>
      <c r="D561" s="16" t="s">
        <v>68</v>
      </c>
      <c r="E561" s="15">
        <v>10564.0</v>
      </c>
      <c r="F561" s="19">
        <v>0.9999053478466635</v>
      </c>
      <c r="G561" s="15">
        <v>0.0</v>
      </c>
      <c r="H561" s="15">
        <v>0.0</v>
      </c>
      <c r="I561" s="15">
        <v>1.0</v>
      </c>
      <c r="J561" s="15">
        <v>0.0</v>
      </c>
      <c r="K561" s="15">
        <v>0.0</v>
      </c>
      <c r="L561" s="17"/>
      <c r="M561" s="20" t="s">
        <v>1747</v>
      </c>
    </row>
    <row r="562" ht="15.75" customHeight="1">
      <c r="A562" s="14" t="s">
        <v>97</v>
      </c>
      <c r="B562" s="15">
        <v>444.0</v>
      </c>
      <c r="C562" s="17" t="s">
        <v>2292</v>
      </c>
      <c r="D562" s="16" t="s">
        <v>68</v>
      </c>
      <c r="E562" s="15">
        <v>10564.0</v>
      </c>
      <c r="F562" s="19">
        <v>0.9999053478466635</v>
      </c>
      <c r="G562" s="15">
        <v>0.0</v>
      </c>
      <c r="H562" s="15">
        <v>0.0</v>
      </c>
      <c r="I562" s="15">
        <v>1.0</v>
      </c>
      <c r="J562" s="15">
        <v>0.0</v>
      </c>
      <c r="K562" s="15">
        <v>0.0</v>
      </c>
      <c r="L562" s="17"/>
      <c r="M562" s="20" t="s">
        <v>1214</v>
      </c>
    </row>
    <row r="563" ht="15.75" customHeight="1">
      <c r="A563" s="14" t="s">
        <v>97</v>
      </c>
      <c r="B563" s="15">
        <v>445.0</v>
      </c>
      <c r="C563" s="17" t="s">
        <v>1791</v>
      </c>
      <c r="D563" s="16" t="s">
        <v>66</v>
      </c>
      <c r="E563" s="15">
        <v>10564.0</v>
      </c>
      <c r="F563" s="19">
        <v>0.9999053478466635</v>
      </c>
      <c r="G563" s="15">
        <v>0.0</v>
      </c>
      <c r="H563" s="15">
        <v>0.0</v>
      </c>
      <c r="I563" s="15">
        <v>1.0</v>
      </c>
      <c r="J563" s="15">
        <v>0.0</v>
      </c>
      <c r="K563" s="15">
        <v>0.0</v>
      </c>
      <c r="L563" s="17"/>
      <c r="M563" s="20" t="s">
        <v>2293</v>
      </c>
    </row>
    <row r="564" ht="15.75" customHeight="1">
      <c r="A564" s="14" t="s">
        <v>97</v>
      </c>
      <c r="B564" s="15">
        <v>446.0</v>
      </c>
      <c r="C564" s="17" t="s">
        <v>2295</v>
      </c>
      <c r="D564" s="16" t="s">
        <v>68</v>
      </c>
      <c r="E564" s="15">
        <v>10564.0</v>
      </c>
      <c r="F564" s="19">
        <v>0.9999053478466635</v>
      </c>
      <c r="G564" s="15">
        <v>0.0</v>
      </c>
      <c r="H564" s="15">
        <v>0.0</v>
      </c>
      <c r="I564" s="15">
        <v>1.0</v>
      </c>
      <c r="J564" s="15">
        <v>0.0</v>
      </c>
      <c r="K564" s="15">
        <v>0.0</v>
      </c>
      <c r="L564" s="17"/>
      <c r="M564" s="20" t="s">
        <v>1222</v>
      </c>
    </row>
    <row r="565" ht="15.75" customHeight="1">
      <c r="A565" s="14" t="s">
        <v>97</v>
      </c>
      <c r="B565" s="15">
        <v>447.0</v>
      </c>
      <c r="C565" s="17" t="s">
        <v>2296</v>
      </c>
      <c r="D565" s="16" t="s">
        <v>68</v>
      </c>
      <c r="E565" s="15">
        <v>10564.0</v>
      </c>
      <c r="F565" s="19">
        <v>0.9999053478466635</v>
      </c>
      <c r="G565" s="15">
        <v>0.0</v>
      </c>
      <c r="H565" s="15">
        <v>0.0</v>
      </c>
      <c r="I565" s="15">
        <v>1.0</v>
      </c>
      <c r="J565" s="15">
        <v>0.0</v>
      </c>
      <c r="K565" s="15">
        <v>0.0</v>
      </c>
      <c r="L565" s="17"/>
      <c r="M565" s="20" t="s">
        <v>1214</v>
      </c>
    </row>
    <row r="566" ht="15.75" customHeight="1">
      <c r="A566" s="14" t="s">
        <v>97</v>
      </c>
      <c r="B566" s="15">
        <v>448.0</v>
      </c>
      <c r="C566" s="17" t="s">
        <v>687</v>
      </c>
      <c r="D566" s="16" t="s">
        <v>458</v>
      </c>
      <c r="E566" s="15">
        <v>8206.0</v>
      </c>
      <c r="F566" s="19">
        <v>0.7767155702792239</v>
      </c>
      <c r="G566" s="15">
        <v>0.0</v>
      </c>
      <c r="H566" s="15">
        <v>0.0</v>
      </c>
      <c r="I566" s="15">
        <v>2177.0</v>
      </c>
      <c r="J566" s="15">
        <v>0.0</v>
      </c>
      <c r="K566" s="15">
        <v>0.0</v>
      </c>
      <c r="L566" s="17"/>
      <c r="M566" s="20" t="s">
        <v>2297</v>
      </c>
    </row>
    <row r="567" ht="15.75" customHeight="1">
      <c r="A567" s="14" t="s">
        <v>97</v>
      </c>
      <c r="B567" s="15">
        <v>449.0</v>
      </c>
      <c r="C567" s="17" t="s">
        <v>2299</v>
      </c>
      <c r="D567" s="16" t="s">
        <v>458</v>
      </c>
      <c r="E567" s="15">
        <v>10521.0</v>
      </c>
      <c r="F567" s="19">
        <v>0.9958353052531945</v>
      </c>
      <c r="G567" s="15">
        <v>0.0</v>
      </c>
      <c r="H567" s="15">
        <v>0.0</v>
      </c>
      <c r="I567" s="15">
        <v>44.0</v>
      </c>
      <c r="J567" s="15">
        <v>0.0</v>
      </c>
      <c r="K567" s="15">
        <v>0.0</v>
      </c>
      <c r="L567" s="17"/>
      <c r="M567" s="20" t="s">
        <v>2300</v>
      </c>
    </row>
    <row r="568" ht="15.75" customHeight="1">
      <c r="A568" s="14" t="s">
        <v>97</v>
      </c>
      <c r="B568" s="15">
        <v>450.0</v>
      </c>
      <c r="C568" s="17" t="s">
        <v>2302</v>
      </c>
      <c r="D568" s="16" t="s">
        <v>458</v>
      </c>
      <c r="E568" s="15">
        <v>10563.0</v>
      </c>
      <c r="F568" s="19">
        <v>0.999810695693327</v>
      </c>
      <c r="G568" s="15">
        <v>0.0</v>
      </c>
      <c r="H568" s="15">
        <v>0.0</v>
      </c>
      <c r="I568" s="15">
        <v>2.0</v>
      </c>
      <c r="J568" s="15">
        <v>0.0</v>
      </c>
      <c r="K568" s="15">
        <v>0.0</v>
      </c>
      <c r="L568" s="17"/>
      <c r="M568" s="20" t="s">
        <v>2303</v>
      </c>
    </row>
    <row r="569" ht="15.75" customHeight="1">
      <c r="A569" s="14" t="s">
        <v>97</v>
      </c>
      <c r="B569" s="15">
        <v>451.0</v>
      </c>
      <c r="C569" s="17" t="s">
        <v>2305</v>
      </c>
      <c r="D569" s="16" t="s">
        <v>458</v>
      </c>
      <c r="E569" s="15">
        <v>10563.0</v>
      </c>
      <c r="F569" s="19">
        <v>0.999810695693327</v>
      </c>
      <c r="G569" s="15">
        <v>0.0</v>
      </c>
      <c r="H569" s="15">
        <v>0.0</v>
      </c>
      <c r="I569" s="15">
        <v>2.0</v>
      </c>
      <c r="J569" s="15">
        <v>0.0</v>
      </c>
      <c r="K569" s="15">
        <v>0.0</v>
      </c>
      <c r="L569" s="17"/>
      <c r="M569" s="20" t="s">
        <v>2306</v>
      </c>
    </row>
    <row r="570" ht="15.75" customHeight="1">
      <c r="A570" s="14" t="s">
        <v>97</v>
      </c>
      <c r="B570" s="15">
        <v>452.0</v>
      </c>
      <c r="C570" s="17" t="s">
        <v>370</v>
      </c>
      <c r="D570" s="16" t="s">
        <v>68</v>
      </c>
      <c r="E570" s="15">
        <v>8314.0</v>
      </c>
      <c r="F570" s="19">
        <v>0.7869380028395646</v>
      </c>
      <c r="G570" s="15">
        <v>0.0</v>
      </c>
      <c r="H570" s="15">
        <v>0.0</v>
      </c>
      <c r="I570" s="15">
        <v>2051.0</v>
      </c>
      <c r="J570" s="15">
        <v>2.0</v>
      </c>
      <c r="K570" s="15">
        <v>103.0</v>
      </c>
      <c r="L570" s="17"/>
      <c r="M570" s="20" t="s">
        <v>2308</v>
      </c>
    </row>
    <row r="571" ht="15.75" customHeight="1">
      <c r="A571" s="14" t="s">
        <v>97</v>
      </c>
      <c r="B571" s="15">
        <v>453.0</v>
      </c>
      <c r="C571" s="17" t="s">
        <v>1021</v>
      </c>
      <c r="D571" s="16" t="s">
        <v>68</v>
      </c>
      <c r="E571" s="15">
        <v>8314.0</v>
      </c>
      <c r="F571" s="19">
        <v>0.7869380028395646</v>
      </c>
      <c r="G571" s="15">
        <v>2241.0</v>
      </c>
      <c r="H571" s="15">
        <v>0.0</v>
      </c>
      <c r="I571" s="15">
        <v>5.0</v>
      </c>
      <c r="J571" s="15">
        <v>2.0</v>
      </c>
      <c r="K571" s="15">
        <v>0.0</v>
      </c>
      <c r="L571" s="17"/>
      <c r="M571" s="20" t="s">
        <v>2310</v>
      </c>
    </row>
    <row r="572" ht="15.75" customHeight="1">
      <c r="A572" s="14" t="s">
        <v>97</v>
      </c>
      <c r="B572" s="15">
        <v>454.0</v>
      </c>
      <c r="C572" s="17" t="s">
        <v>1464</v>
      </c>
      <c r="D572" s="16" t="s">
        <v>68</v>
      </c>
      <c r="E572" s="15">
        <v>10563.0</v>
      </c>
      <c r="F572" s="19">
        <v>0.999810695693327</v>
      </c>
      <c r="G572" s="15">
        <v>0.0</v>
      </c>
      <c r="H572" s="15">
        <v>0.0</v>
      </c>
      <c r="I572" s="15">
        <v>2.0</v>
      </c>
      <c r="J572" s="15">
        <v>0.0</v>
      </c>
      <c r="K572" s="15">
        <v>1.0</v>
      </c>
      <c r="L572" s="17"/>
      <c r="M572" s="20" t="s">
        <v>2311</v>
      </c>
    </row>
    <row r="573" ht="15.75" customHeight="1">
      <c r="A573" s="14" t="s">
        <v>97</v>
      </c>
      <c r="B573" s="15">
        <v>455.0</v>
      </c>
      <c r="C573" s="17" t="s">
        <v>2312</v>
      </c>
      <c r="D573" s="16" t="s">
        <v>138</v>
      </c>
      <c r="E573" s="15">
        <v>8314.0</v>
      </c>
      <c r="F573" s="19">
        <v>0.7869380028395646</v>
      </c>
      <c r="G573" s="15">
        <v>0.0</v>
      </c>
      <c r="H573" s="15">
        <v>0.0</v>
      </c>
      <c r="I573" s="15">
        <v>3.0</v>
      </c>
      <c r="J573" s="15">
        <v>0.0</v>
      </c>
      <c r="K573" s="15">
        <v>0.0</v>
      </c>
      <c r="L573" s="17"/>
      <c r="M573" s="20" t="s">
        <v>1803</v>
      </c>
    </row>
    <row r="574" ht="15.75" customHeight="1">
      <c r="A574" s="14" t="s">
        <v>97</v>
      </c>
      <c r="B574" s="15">
        <v>456.0</v>
      </c>
      <c r="C574" s="17" t="s">
        <v>2313</v>
      </c>
      <c r="D574" s="16" t="s">
        <v>357</v>
      </c>
      <c r="E574" s="15">
        <v>8314.0</v>
      </c>
      <c r="F574" s="19">
        <v>0.7869380028395646</v>
      </c>
      <c r="G574" s="15">
        <v>0.0</v>
      </c>
      <c r="H574" s="15">
        <v>0.0</v>
      </c>
      <c r="I574" s="15">
        <v>2.0</v>
      </c>
      <c r="J574" s="15">
        <v>0.0</v>
      </c>
      <c r="K574" s="15">
        <v>0.0</v>
      </c>
      <c r="L574" s="17"/>
      <c r="M574" s="20" t="s">
        <v>930</v>
      </c>
    </row>
    <row r="575" ht="15.75" customHeight="1">
      <c r="A575" s="14" t="s">
        <v>97</v>
      </c>
      <c r="B575" s="15">
        <v>457.0</v>
      </c>
      <c r="C575" s="17" t="s">
        <v>2314</v>
      </c>
      <c r="D575" s="16" t="s">
        <v>357</v>
      </c>
      <c r="E575" s="15">
        <v>8314.0</v>
      </c>
      <c r="F575" s="19">
        <v>0.7869380028395646</v>
      </c>
      <c r="G575" s="15">
        <v>0.0</v>
      </c>
      <c r="H575" s="15">
        <v>0.0</v>
      </c>
      <c r="I575" s="15">
        <v>1.0</v>
      </c>
      <c r="J575" s="15">
        <v>0.0</v>
      </c>
      <c r="K575" s="15">
        <v>0.0</v>
      </c>
      <c r="L575" s="17"/>
      <c r="M575" s="20" t="s">
        <v>75</v>
      </c>
    </row>
    <row r="576" ht="15.75" customHeight="1">
      <c r="A576" s="14" t="s">
        <v>97</v>
      </c>
      <c r="B576" s="15">
        <v>458.0</v>
      </c>
      <c r="C576" s="17" t="s">
        <v>2315</v>
      </c>
      <c r="D576" s="16" t="s">
        <v>68</v>
      </c>
      <c r="E576" s="15">
        <v>8396.0</v>
      </c>
      <c r="F576" s="19">
        <v>0.7946994794131567</v>
      </c>
      <c r="G576" s="15">
        <v>0.0</v>
      </c>
      <c r="H576" s="15">
        <v>0.0</v>
      </c>
      <c r="I576" s="15">
        <v>5.0</v>
      </c>
      <c r="J576" s="15">
        <v>0.0</v>
      </c>
      <c r="K576" s="15">
        <v>0.0</v>
      </c>
      <c r="L576" s="17"/>
      <c r="M576" s="20" t="s">
        <v>2316</v>
      </c>
    </row>
    <row r="577" ht="15.75" customHeight="1">
      <c r="A577" s="14" t="s">
        <v>97</v>
      </c>
      <c r="B577" s="15">
        <v>459.0</v>
      </c>
      <c r="C577" s="17" t="s">
        <v>1990</v>
      </c>
      <c r="D577" s="16" t="s">
        <v>341</v>
      </c>
      <c r="E577" s="15">
        <v>10565.0</v>
      </c>
      <c r="F577" s="19">
        <v>1.0</v>
      </c>
      <c r="G577" s="15">
        <v>0.0</v>
      </c>
      <c r="H577" s="15">
        <v>0.0</v>
      </c>
      <c r="I577" s="15">
        <v>0.0</v>
      </c>
      <c r="J577" s="15">
        <v>0.0</v>
      </c>
      <c r="K577" s="15">
        <v>0.0</v>
      </c>
      <c r="L577" s="17"/>
      <c r="M577" s="20"/>
    </row>
    <row r="578" ht="15.75" customHeight="1">
      <c r="A578" s="14" t="s">
        <v>97</v>
      </c>
      <c r="B578" s="15">
        <v>460.0</v>
      </c>
      <c r="C578" s="17" t="s">
        <v>1610</v>
      </c>
      <c r="D578" s="16" t="s">
        <v>68</v>
      </c>
      <c r="E578" s="15">
        <v>8335.0</v>
      </c>
      <c r="F578" s="19">
        <v>0.7889256980596309</v>
      </c>
      <c r="G578" s="15">
        <v>0.0</v>
      </c>
      <c r="H578" s="15">
        <v>0.0</v>
      </c>
      <c r="I578" s="15">
        <v>2048.0</v>
      </c>
      <c r="J578" s="15">
        <v>0.0</v>
      </c>
      <c r="K578" s="15">
        <v>0.0</v>
      </c>
      <c r="L578" s="17"/>
      <c r="M578" s="20" t="s">
        <v>2317</v>
      </c>
    </row>
    <row r="579" ht="15.75" customHeight="1">
      <c r="A579" s="14" t="s">
        <v>97</v>
      </c>
      <c r="B579" s="15">
        <v>461.0</v>
      </c>
      <c r="C579" s="17" t="s">
        <v>1015</v>
      </c>
      <c r="D579" s="16" t="s">
        <v>68</v>
      </c>
      <c r="E579" s="15">
        <v>8335.0</v>
      </c>
      <c r="F579" s="19">
        <v>0.7889256980596309</v>
      </c>
      <c r="G579" s="15">
        <v>2212.0</v>
      </c>
      <c r="H579" s="15">
        <v>0.0</v>
      </c>
      <c r="I579" s="15">
        <v>5.0</v>
      </c>
      <c r="J579" s="15">
        <v>1.0</v>
      </c>
      <c r="K579" s="15">
        <v>0.0</v>
      </c>
      <c r="L579" s="17"/>
      <c r="M579" s="20" t="s">
        <v>1811</v>
      </c>
    </row>
    <row r="580" ht="15.75" customHeight="1">
      <c r="A580" s="14" t="s">
        <v>97</v>
      </c>
      <c r="B580" s="15">
        <v>462.0</v>
      </c>
      <c r="C580" s="17" t="s">
        <v>2319</v>
      </c>
      <c r="D580" s="16" t="s">
        <v>68</v>
      </c>
      <c r="E580" s="15">
        <v>8335.0</v>
      </c>
      <c r="F580" s="19">
        <v>0.7889256980596309</v>
      </c>
      <c r="G580" s="15">
        <v>0.0</v>
      </c>
      <c r="H580" s="15">
        <v>0.0</v>
      </c>
      <c r="I580" s="15">
        <v>3.0</v>
      </c>
      <c r="J580" s="15">
        <v>0.0</v>
      </c>
      <c r="K580" s="15">
        <v>0.0</v>
      </c>
      <c r="L580" s="17"/>
      <c r="M580" s="20" t="s">
        <v>1891</v>
      </c>
    </row>
    <row r="581" ht="15.75" customHeight="1">
      <c r="A581" s="14" t="s">
        <v>97</v>
      </c>
      <c r="B581" s="15">
        <v>463.0</v>
      </c>
      <c r="C581" s="17" t="s">
        <v>2320</v>
      </c>
      <c r="D581" s="16" t="s">
        <v>68</v>
      </c>
      <c r="E581" s="15">
        <v>8426.0</v>
      </c>
      <c r="F581" s="19">
        <v>0.7975390440132513</v>
      </c>
      <c r="G581" s="15">
        <v>0.0</v>
      </c>
      <c r="H581" s="15">
        <v>0.0</v>
      </c>
      <c r="I581" s="15">
        <v>1.0</v>
      </c>
      <c r="J581" s="15">
        <v>0.0</v>
      </c>
      <c r="K581" s="15">
        <v>0.0</v>
      </c>
      <c r="L581" s="17"/>
      <c r="M581" s="20" t="s">
        <v>2186</v>
      </c>
    </row>
    <row r="582" ht="15.75" customHeight="1">
      <c r="A582" s="14" t="s">
        <v>97</v>
      </c>
      <c r="B582" s="15">
        <v>464.0</v>
      </c>
      <c r="C582" s="17" t="s">
        <v>1612</v>
      </c>
      <c r="D582" s="16" t="s">
        <v>68</v>
      </c>
      <c r="E582" s="15">
        <v>10521.0</v>
      </c>
      <c r="F582" s="19">
        <v>0.9958353052531945</v>
      </c>
      <c r="G582" s="15">
        <v>0.0</v>
      </c>
      <c r="H582" s="15">
        <v>0.0</v>
      </c>
      <c r="I582" s="15">
        <v>43.0</v>
      </c>
      <c r="J582" s="15">
        <v>0.0</v>
      </c>
      <c r="K582" s="15">
        <v>0.0</v>
      </c>
      <c r="L582" s="17"/>
      <c r="M582" s="20" t="s">
        <v>2321</v>
      </c>
    </row>
    <row r="583" ht="15.75" customHeight="1">
      <c r="A583" s="14" t="s">
        <v>97</v>
      </c>
      <c r="B583" s="15">
        <v>465.0</v>
      </c>
      <c r="C583" s="17" t="s">
        <v>1819</v>
      </c>
      <c r="D583" s="16" t="s">
        <v>68</v>
      </c>
      <c r="E583" s="15">
        <v>10521.0</v>
      </c>
      <c r="F583" s="19">
        <v>0.9958353052531945</v>
      </c>
      <c r="G583" s="15">
        <v>35.0</v>
      </c>
      <c r="H583" s="15">
        <v>0.0</v>
      </c>
      <c r="I583" s="15">
        <v>4.0</v>
      </c>
      <c r="J583" s="15">
        <v>0.0</v>
      </c>
      <c r="K583" s="15">
        <v>0.0</v>
      </c>
      <c r="L583" s="17"/>
      <c r="M583" s="20" t="s">
        <v>1042</v>
      </c>
    </row>
    <row r="584" ht="15.75" customHeight="1">
      <c r="A584" s="14" t="s">
        <v>97</v>
      </c>
      <c r="B584" s="15">
        <v>466.0</v>
      </c>
      <c r="C584" s="17" t="s">
        <v>1958</v>
      </c>
      <c r="D584" s="16" t="s">
        <v>68</v>
      </c>
      <c r="E584" s="15">
        <v>10521.0</v>
      </c>
      <c r="F584" s="19">
        <v>0.9958353052531945</v>
      </c>
      <c r="G584" s="15">
        <v>0.0</v>
      </c>
      <c r="H584" s="15">
        <v>0.0</v>
      </c>
      <c r="I584" s="15">
        <v>1.0</v>
      </c>
      <c r="J584" s="15">
        <v>0.0</v>
      </c>
      <c r="K584" s="15">
        <v>0.0</v>
      </c>
      <c r="L584" s="17"/>
      <c r="M584" s="20" t="s">
        <v>1214</v>
      </c>
    </row>
    <row r="585" ht="15.75" customHeight="1">
      <c r="A585" s="14" t="s">
        <v>97</v>
      </c>
      <c r="B585" s="15">
        <v>467.0</v>
      </c>
      <c r="C585" s="17" t="s">
        <v>1960</v>
      </c>
      <c r="D585" s="16" t="s">
        <v>68</v>
      </c>
      <c r="E585" s="15">
        <v>10531.0</v>
      </c>
      <c r="F585" s="19">
        <v>0.9967818267865594</v>
      </c>
      <c r="G585" s="15">
        <v>0.0</v>
      </c>
      <c r="H585" s="15">
        <v>0.0</v>
      </c>
      <c r="I585" s="15">
        <v>1.0</v>
      </c>
      <c r="J585" s="15">
        <v>0.0</v>
      </c>
      <c r="K585" s="15">
        <v>0.0</v>
      </c>
      <c r="L585" s="17"/>
      <c r="M585" s="20" t="s">
        <v>2186</v>
      </c>
    </row>
    <row r="586" ht="15.75" customHeight="1">
      <c r="A586" s="14" t="s">
        <v>97</v>
      </c>
      <c r="B586" s="15">
        <v>468.0</v>
      </c>
      <c r="C586" s="17" t="s">
        <v>1963</v>
      </c>
      <c r="D586" s="16" t="s">
        <v>68</v>
      </c>
      <c r="E586" s="15">
        <v>10559.0</v>
      </c>
      <c r="F586" s="19">
        <v>0.9994320870799811</v>
      </c>
      <c r="G586" s="15">
        <v>0.0</v>
      </c>
      <c r="H586" s="15">
        <v>0.0</v>
      </c>
      <c r="I586" s="15">
        <v>6.0</v>
      </c>
      <c r="J586" s="15">
        <v>0.0</v>
      </c>
      <c r="K586" s="15">
        <v>0.0</v>
      </c>
      <c r="L586" s="17"/>
      <c r="M586" s="20" t="s">
        <v>2323</v>
      </c>
    </row>
    <row r="587" ht="15.75" customHeight="1">
      <c r="A587" s="14" t="s">
        <v>97</v>
      </c>
      <c r="B587" s="15">
        <v>469.0</v>
      </c>
      <c r="C587" s="17" t="s">
        <v>1967</v>
      </c>
      <c r="D587" s="16" t="s">
        <v>68</v>
      </c>
      <c r="E587" s="15">
        <v>10559.0</v>
      </c>
      <c r="F587" s="19">
        <v>0.9994320870799811</v>
      </c>
      <c r="G587" s="15">
        <v>0.0</v>
      </c>
      <c r="H587" s="15">
        <v>0.0</v>
      </c>
      <c r="I587" s="15">
        <v>2.0</v>
      </c>
      <c r="J587" s="15">
        <v>0.0</v>
      </c>
      <c r="K587" s="15">
        <v>0.0</v>
      </c>
      <c r="L587" s="17"/>
      <c r="M587" s="20" t="s">
        <v>2325</v>
      </c>
    </row>
    <row r="588" ht="15.75" customHeight="1">
      <c r="A588" s="14" t="s">
        <v>97</v>
      </c>
      <c r="B588" s="15">
        <v>470.0</v>
      </c>
      <c r="C588" s="17" t="s">
        <v>1966</v>
      </c>
      <c r="D588" s="16" t="s">
        <v>68</v>
      </c>
      <c r="E588" s="15">
        <v>10559.0</v>
      </c>
      <c r="F588" s="19">
        <v>0.9994320870799811</v>
      </c>
      <c r="G588" s="15">
        <v>0.0</v>
      </c>
      <c r="H588" s="15">
        <v>0.0</v>
      </c>
      <c r="I588" s="15">
        <v>2.0</v>
      </c>
      <c r="J588" s="15">
        <v>0.0</v>
      </c>
      <c r="K588" s="15">
        <v>0.0</v>
      </c>
      <c r="L588" s="17"/>
      <c r="M588" s="20" t="s">
        <v>1167</v>
      </c>
    </row>
    <row r="589" ht="15.75" customHeight="1">
      <c r="A589" s="14" t="s">
        <v>97</v>
      </c>
      <c r="B589" s="15">
        <v>471.0</v>
      </c>
      <c r="C589" s="17" t="s">
        <v>1968</v>
      </c>
      <c r="D589" s="16" t="s">
        <v>68</v>
      </c>
      <c r="E589" s="15">
        <v>10560.0</v>
      </c>
      <c r="F589" s="19">
        <v>0.9995267392333176</v>
      </c>
      <c r="G589" s="15">
        <v>0.0</v>
      </c>
      <c r="H589" s="15">
        <v>0.0</v>
      </c>
      <c r="I589" s="15">
        <v>5.0</v>
      </c>
      <c r="J589" s="15">
        <v>0.0</v>
      </c>
      <c r="K589" s="15">
        <v>0.0</v>
      </c>
      <c r="L589" s="17"/>
      <c r="M589" s="20" t="s">
        <v>2326</v>
      </c>
    </row>
    <row r="590" ht="15.75" customHeight="1">
      <c r="A590" s="14" t="s">
        <v>97</v>
      </c>
      <c r="B590" s="15">
        <v>472.0</v>
      </c>
      <c r="C590" s="17" t="s">
        <v>1019</v>
      </c>
      <c r="D590" s="16" t="s">
        <v>68</v>
      </c>
      <c r="E590" s="15">
        <v>10560.0</v>
      </c>
      <c r="F590" s="19">
        <v>0.9995267392333176</v>
      </c>
      <c r="G590" s="15">
        <v>0.0</v>
      </c>
      <c r="H590" s="15">
        <v>0.0</v>
      </c>
      <c r="I590" s="15">
        <v>3.0</v>
      </c>
      <c r="J590" s="15">
        <v>1.0</v>
      </c>
      <c r="K590" s="15">
        <v>0.0</v>
      </c>
      <c r="L590" s="17"/>
      <c r="M590" s="20" t="s">
        <v>2328</v>
      </c>
    </row>
    <row r="591" ht="15.75" customHeight="1">
      <c r="A591" s="14" t="s">
        <v>97</v>
      </c>
      <c r="B591" s="15">
        <v>473.0</v>
      </c>
      <c r="C591" s="17" t="s">
        <v>1017</v>
      </c>
      <c r="D591" s="16" t="s">
        <v>68</v>
      </c>
      <c r="E591" s="15">
        <v>10560.0</v>
      </c>
      <c r="F591" s="19">
        <v>0.9995267392333176</v>
      </c>
      <c r="G591" s="15">
        <v>0.0</v>
      </c>
      <c r="H591" s="15">
        <v>0.0</v>
      </c>
      <c r="I591" s="15">
        <v>2.0</v>
      </c>
      <c r="J591" s="15">
        <v>1.0</v>
      </c>
      <c r="K591" s="15">
        <v>0.0</v>
      </c>
      <c r="L591" s="17"/>
      <c r="M591" s="20" t="s">
        <v>2257</v>
      </c>
    </row>
    <row r="592" ht="15.75" customHeight="1">
      <c r="A592" s="14" t="s">
        <v>97</v>
      </c>
      <c r="B592" s="15">
        <v>474.0</v>
      </c>
      <c r="C592" s="17" t="s">
        <v>1970</v>
      </c>
      <c r="D592" s="16" t="s">
        <v>68</v>
      </c>
      <c r="E592" s="15">
        <v>10563.0</v>
      </c>
      <c r="F592" s="19">
        <v>0.999810695693327</v>
      </c>
      <c r="G592" s="15">
        <v>0.0</v>
      </c>
      <c r="H592" s="15">
        <v>0.0</v>
      </c>
      <c r="I592" s="15">
        <v>2.0</v>
      </c>
      <c r="J592" s="15">
        <v>0.0</v>
      </c>
      <c r="K592" s="15">
        <v>0.0</v>
      </c>
      <c r="L592" s="17"/>
      <c r="M592" s="20" t="s">
        <v>2329</v>
      </c>
    </row>
    <row r="593" ht="15.75" customHeight="1">
      <c r="A593" s="14" t="s">
        <v>97</v>
      </c>
      <c r="B593" s="15">
        <v>475.0</v>
      </c>
      <c r="C593" s="17" t="s">
        <v>1974</v>
      </c>
      <c r="D593" s="16" t="s">
        <v>68</v>
      </c>
      <c r="E593" s="15">
        <v>10563.0</v>
      </c>
      <c r="F593" s="19">
        <v>0.999810695693327</v>
      </c>
      <c r="G593" s="15">
        <v>0.0</v>
      </c>
      <c r="H593" s="15">
        <v>0.0</v>
      </c>
      <c r="I593" s="15">
        <v>1.0</v>
      </c>
      <c r="J593" s="15">
        <v>0.0</v>
      </c>
      <c r="K593" s="15">
        <v>0.0</v>
      </c>
      <c r="L593" s="17"/>
      <c r="M593" s="20" t="s">
        <v>1747</v>
      </c>
    </row>
    <row r="594" ht="15.75" customHeight="1">
      <c r="A594" s="14" t="s">
        <v>97</v>
      </c>
      <c r="B594" s="15">
        <v>476.0</v>
      </c>
      <c r="C594" s="17" t="s">
        <v>1973</v>
      </c>
      <c r="D594" s="16" t="s">
        <v>68</v>
      </c>
      <c r="E594" s="15">
        <v>10563.0</v>
      </c>
      <c r="F594" s="19">
        <v>0.999810695693327</v>
      </c>
      <c r="G594" s="15">
        <v>0.0</v>
      </c>
      <c r="H594" s="15">
        <v>0.0</v>
      </c>
      <c r="I594" s="15">
        <v>1.0</v>
      </c>
      <c r="J594" s="15">
        <v>0.0</v>
      </c>
      <c r="K594" s="15">
        <v>0.0</v>
      </c>
      <c r="L594" s="17"/>
      <c r="M594" s="20" t="s">
        <v>1214</v>
      </c>
    </row>
    <row r="595" ht="15.75" customHeight="1">
      <c r="A595" s="14" t="s">
        <v>97</v>
      </c>
      <c r="B595" s="15">
        <v>477.0</v>
      </c>
      <c r="C595" s="17" t="s">
        <v>1976</v>
      </c>
      <c r="D595" s="16" t="s">
        <v>68</v>
      </c>
      <c r="E595" s="15">
        <v>10564.0</v>
      </c>
      <c r="F595" s="19">
        <v>0.9999053478466635</v>
      </c>
      <c r="G595" s="15">
        <v>0.0</v>
      </c>
      <c r="H595" s="15">
        <v>0.0</v>
      </c>
      <c r="I595" s="15">
        <v>1.0</v>
      </c>
      <c r="J595" s="15">
        <v>0.0</v>
      </c>
      <c r="K595" s="15">
        <v>0.0</v>
      </c>
      <c r="L595" s="17"/>
      <c r="M595" s="20" t="s">
        <v>2331</v>
      </c>
    </row>
    <row r="596" ht="15.75" customHeight="1">
      <c r="A596" s="14" t="s">
        <v>97</v>
      </c>
      <c r="B596" s="15">
        <v>478.0</v>
      </c>
      <c r="C596" s="17" t="s">
        <v>1979</v>
      </c>
      <c r="D596" s="16" t="s">
        <v>68</v>
      </c>
      <c r="E596" s="15">
        <v>10564.0</v>
      </c>
      <c r="F596" s="19">
        <v>0.9999053478466635</v>
      </c>
      <c r="G596" s="15">
        <v>0.0</v>
      </c>
      <c r="H596" s="15">
        <v>0.0</v>
      </c>
      <c r="I596" s="15">
        <v>1.0</v>
      </c>
      <c r="J596" s="15">
        <v>0.0</v>
      </c>
      <c r="K596" s="15">
        <v>0.0</v>
      </c>
      <c r="L596" s="17"/>
      <c r="M596" s="20" t="s">
        <v>1222</v>
      </c>
    </row>
    <row r="597" ht="15.75" customHeight="1">
      <c r="A597" s="14" t="s">
        <v>97</v>
      </c>
      <c r="B597" s="15">
        <v>479.0</v>
      </c>
      <c r="C597" s="17" t="s">
        <v>1977</v>
      </c>
      <c r="D597" s="16" t="s">
        <v>68</v>
      </c>
      <c r="E597" s="15">
        <v>10564.0</v>
      </c>
      <c r="F597" s="19">
        <v>0.9999053478466635</v>
      </c>
      <c r="G597" s="15">
        <v>0.0</v>
      </c>
      <c r="H597" s="15">
        <v>0.0</v>
      </c>
      <c r="I597" s="15">
        <v>1.0</v>
      </c>
      <c r="J597" s="15">
        <v>0.0</v>
      </c>
      <c r="K597" s="15">
        <v>0.0</v>
      </c>
      <c r="L597" s="17"/>
      <c r="M597" s="20" t="s">
        <v>1214</v>
      </c>
    </row>
    <row r="598" ht="15.75" customHeight="1">
      <c r="A598" s="14" t="s">
        <v>97</v>
      </c>
      <c r="B598" s="15">
        <v>480.0</v>
      </c>
      <c r="C598" s="17" t="s">
        <v>1981</v>
      </c>
      <c r="D598" s="16" t="s">
        <v>68</v>
      </c>
      <c r="E598" s="15">
        <v>10564.0</v>
      </c>
      <c r="F598" s="19">
        <v>0.9999053478466635</v>
      </c>
      <c r="G598" s="15">
        <v>0.0</v>
      </c>
      <c r="H598" s="15">
        <v>0.0</v>
      </c>
      <c r="I598" s="15">
        <v>1.0</v>
      </c>
      <c r="J598" s="15">
        <v>0.0</v>
      </c>
      <c r="K598" s="15">
        <v>0.0</v>
      </c>
      <c r="L598" s="17"/>
      <c r="M598" s="20" t="s">
        <v>2333</v>
      </c>
    </row>
    <row r="599" ht="15.75" customHeight="1">
      <c r="A599" s="14" t="s">
        <v>97</v>
      </c>
      <c r="B599" s="15">
        <v>481.0</v>
      </c>
      <c r="C599" s="17" t="s">
        <v>1984</v>
      </c>
      <c r="D599" s="16" t="s">
        <v>68</v>
      </c>
      <c r="E599" s="15">
        <v>10564.0</v>
      </c>
      <c r="F599" s="19">
        <v>0.9999053478466635</v>
      </c>
      <c r="G599" s="15">
        <v>0.0</v>
      </c>
      <c r="H599" s="15">
        <v>0.0</v>
      </c>
      <c r="I599" s="15">
        <v>1.0</v>
      </c>
      <c r="J599" s="15">
        <v>0.0</v>
      </c>
      <c r="K599" s="15">
        <v>0.0</v>
      </c>
      <c r="L599" s="17"/>
      <c r="M599" s="20" t="s">
        <v>1747</v>
      </c>
    </row>
    <row r="600" ht="15.75" customHeight="1">
      <c r="A600" s="14" t="s">
        <v>97</v>
      </c>
      <c r="B600" s="15">
        <v>482.0</v>
      </c>
      <c r="C600" s="17" t="s">
        <v>1983</v>
      </c>
      <c r="D600" s="16" t="s">
        <v>68</v>
      </c>
      <c r="E600" s="15">
        <v>10564.0</v>
      </c>
      <c r="F600" s="19">
        <v>0.9999053478466635</v>
      </c>
      <c r="G600" s="15">
        <v>0.0</v>
      </c>
      <c r="H600" s="15">
        <v>0.0</v>
      </c>
      <c r="I600" s="15">
        <v>1.0</v>
      </c>
      <c r="J600" s="15">
        <v>0.0</v>
      </c>
      <c r="K600" s="15">
        <v>0.0</v>
      </c>
      <c r="L600" s="17"/>
      <c r="M600" s="20" t="s">
        <v>2335</v>
      </c>
    </row>
    <row r="601" ht="15.75" customHeight="1">
      <c r="A601" s="14" t="s">
        <v>97</v>
      </c>
      <c r="B601" s="15">
        <v>483.0</v>
      </c>
      <c r="C601" s="17" t="s">
        <v>1985</v>
      </c>
      <c r="D601" s="16" t="s">
        <v>68</v>
      </c>
      <c r="E601" s="15">
        <v>10564.0</v>
      </c>
      <c r="F601" s="19">
        <v>0.9999053478466635</v>
      </c>
      <c r="G601" s="15">
        <v>0.0</v>
      </c>
      <c r="H601" s="15">
        <v>0.0</v>
      </c>
      <c r="I601" s="15">
        <v>1.0</v>
      </c>
      <c r="J601" s="15">
        <v>0.0</v>
      </c>
      <c r="K601" s="15">
        <v>0.0</v>
      </c>
      <c r="L601" s="17"/>
      <c r="M601" s="20" t="s">
        <v>2336</v>
      </c>
    </row>
    <row r="602" ht="15.75" customHeight="1">
      <c r="A602" s="14" t="s">
        <v>97</v>
      </c>
      <c r="B602" s="15">
        <v>484.0</v>
      </c>
      <c r="C602" s="17" t="s">
        <v>1820</v>
      </c>
      <c r="D602" s="16" t="s">
        <v>341</v>
      </c>
      <c r="E602" s="15">
        <v>10564.0</v>
      </c>
      <c r="F602" s="19">
        <v>0.9999053478466635</v>
      </c>
      <c r="G602" s="15">
        <v>1.0</v>
      </c>
      <c r="H602" s="15">
        <v>0.0</v>
      </c>
      <c r="I602" s="15">
        <v>1.0</v>
      </c>
      <c r="J602" s="15">
        <v>0.0</v>
      </c>
      <c r="K602" s="15">
        <v>0.0</v>
      </c>
      <c r="L602" s="17"/>
      <c r="M602" s="20" t="s">
        <v>1514</v>
      </c>
    </row>
    <row r="603" ht="15.75" customHeight="1">
      <c r="A603" s="14" t="s">
        <v>97</v>
      </c>
      <c r="B603" s="15">
        <v>485.0</v>
      </c>
      <c r="C603" s="17" t="s">
        <v>1987</v>
      </c>
      <c r="D603" s="16" t="s">
        <v>68</v>
      </c>
      <c r="E603" s="15">
        <v>10564.0</v>
      </c>
      <c r="F603" s="19">
        <v>0.9999053478466635</v>
      </c>
      <c r="G603" s="15">
        <v>0.0</v>
      </c>
      <c r="H603" s="15">
        <v>0.0</v>
      </c>
      <c r="I603" s="15">
        <v>1.0</v>
      </c>
      <c r="J603" s="15">
        <v>0.0</v>
      </c>
      <c r="K603" s="15">
        <v>0.0</v>
      </c>
      <c r="L603" s="17"/>
      <c r="M603" s="20" t="s">
        <v>1214</v>
      </c>
    </row>
    <row r="604" ht="15.75" customHeight="1">
      <c r="A604" s="14" t="s">
        <v>97</v>
      </c>
      <c r="B604" s="15">
        <v>486.0</v>
      </c>
      <c r="C604" s="17" t="s">
        <v>569</v>
      </c>
      <c r="D604" s="16" t="s">
        <v>458</v>
      </c>
      <c r="E604" s="15">
        <v>8344.0</v>
      </c>
      <c r="F604" s="19">
        <v>0.7897775674396592</v>
      </c>
      <c r="G604" s="15">
        <v>0.0</v>
      </c>
      <c r="H604" s="15">
        <v>0.0</v>
      </c>
      <c r="I604" s="15">
        <v>2031.0</v>
      </c>
      <c r="J604" s="15">
        <v>0.0</v>
      </c>
      <c r="K604" s="15">
        <v>0.0</v>
      </c>
      <c r="L604" s="17"/>
      <c r="M604" s="20" t="s">
        <v>2338</v>
      </c>
    </row>
    <row r="605" ht="15.75" customHeight="1">
      <c r="A605" s="14" t="s">
        <v>97</v>
      </c>
      <c r="B605" s="15">
        <v>487.0</v>
      </c>
      <c r="C605" s="17" t="s">
        <v>1953</v>
      </c>
      <c r="D605" s="16" t="s">
        <v>458</v>
      </c>
      <c r="E605" s="15">
        <v>10535.0</v>
      </c>
      <c r="F605" s="19">
        <v>0.9971604353999054</v>
      </c>
      <c r="G605" s="15">
        <v>0.0</v>
      </c>
      <c r="H605" s="15">
        <v>0.0</v>
      </c>
      <c r="I605" s="15">
        <v>29.0</v>
      </c>
      <c r="J605" s="15">
        <v>0.0</v>
      </c>
      <c r="K605" s="15">
        <v>0.0</v>
      </c>
      <c r="L605" s="17"/>
      <c r="M605" s="20" t="s">
        <v>2340</v>
      </c>
    </row>
    <row r="606" ht="15.75" customHeight="1">
      <c r="A606" s="14" t="s">
        <v>97</v>
      </c>
      <c r="B606" s="15">
        <v>488.0</v>
      </c>
      <c r="C606" s="17" t="s">
        <v>1954</v>
      </c>
      <c r="D606" s="16" t="s">
        <v>458</v>
      </c>
      <c r="E606" s="15">
        <v>10563.0</v>
      </c>
      <c r="F606" s="19">
        <v>0.999810695693327</v>
      </c>
      <c r="G606" s="15">
        <v>0.0</v>
      </c>
      <c r="H606" s="15">
        <v>0.0</v>
      </c>
      <c r="I606" s="15">
        <v>2.0</v>
      </c>
      <c r="J606" s="15">
        <v>0.0</v>
      </c>
      <c r="K606" s="15">
        <v>0.0</v>
      </c>
      <c r="L606" s="17"/>
      <c r="M606" s="20" t="s">
        <v>2342</v>
      </c>
    </row>
    <row r="607" ht="15.75" customHeight="1">
      <c r="A607" s="14" t="s">
        <v>97</v>
      </c>
      <c r="B607" s="15">
        <v>489.0</v>
      </c>
      <c r="C607" s="17" t="s">
        <v>1956</v>
      </c>
      <c r="D607" s="16" t="s">
        <v>458</v>
      </c>
      <c r="E607" s="15">
        <v>10563.0</v>
      </c>
      <c r="F607" s="19">
        <v>0.999810695693327</v>
      </c>
      <c r="G607" s="15">
        <v>0.0</v>
      </c>
      <c r="H607" s="15">
        <v>0.0</v>
      </c>
      <c r="I607" s="15">
        <v>2.0</v>
      </c>
      <c r="J607" s="15">
        <v>0.0</v>
      </c>
      <c r="K607" s="15">
        <v>0.0</v>
      </c>
      <c r="L607" s="17"/>
      <c r="M607" s="20" t="s">
        <v>2344</v>
      </c>
    </row>
    <row r="608" ht="15.75" customHeight="1">
      <c r="A608" s="14" t="s">
        <v>97</v>
      </c>
      <c r="B608" s="15">
        <v>490.0</v>
      </c>
      <c r="C608" s="17" t="s">
        <v>375</v>
      </c>
      <c r="D608" s="16" t="s">
        <v>68</v>
      </c>
      <c r="E608" s="15">
        <v>9757.0</v>
      </c>
      <c r="F608" s="19">
        <v>0.9235210601041174</v>
      </c>
      <c r="G608" s="15">
        <v>0.0</v>
      </c>
      <c r="H608" s="15">
        <v>0.0</v>
      </c>
      <c r="I608" s="15">
        <v>777.0</v>
      </c>
      <c r="J608" s="15">
        <v>3.0</v>
      </c>
      <c r="K608" s="15">
        <v>126.0</v>
      </c>
      <c r="L608" s="17"/>
      <c r="M608" s="20" t="s">
        <v>2346</v>
      </c>
    </row>
    <row r="609" ht="15.75" customHeight="1">
      <c r="A609" s="14" t="s">
        <v>97</v>
      </c>
      <c r="B609" s="15">
        <v>491.0</v>
      </c>
      <c r="C609" s="17" t="s">
        <v>1025</v>
      </c>
      <c r="D609" s="16" t="s">
        <v>68</v>
      </c>
      <c r="E609" s="15">
        <v>9757.0</v>
      </c>
      <c r="F609" s="19">
        <v>0.9235210601041174</v>
      </c>
      <c r="G609" s="15">
        <v>795.0</v>
      </c>
      <c r="H609" s="15">
        <v>0.0</v>
      </c>
      <c r="I609" s="15">
        <v>4.0</v>
      </c>
      <c r="J609" s="15">
        <v>2.0</v>
      </c>
      <c r="K609" s="15">
        <v>0.0</v>
      </c>
      <c r="L609" s="17"/>
      <c r="M609" s="20" t="s">
        <v>2156</v>
      </c>
    </row>
    <row r="610" ht="15.75" customHeight="1">
      <c r="A610" s="14" t="s">
        <v>97</v>
      </c>
      <c r="B610" s="15">
        <v>492.0</v>
      </c>
      <c r="C610" s="17" t="s">
        <v>1993</v>
      </c>
      <c r="D610" s="16" t="s">
        <v>68</v>
      </c>
      <c r="E610" s="15">
        <v>10562.0</v>
      </c>
      <c r="F610" s="19">
        <v>0.9997160435399906</v>
      </c>
      <c r="G610" s="15">
        <v>0.0</v>
      </c>
      <c r="H610" s="15">
        <v>0.0</v>
      </c>
      <c r="I610" s="15">
        <v>3.0</v>
      </c>
      <c r="J610" s="15">
        <v>0.0</v>
      </c>
      <c r="K610" s="15">
        <v>0.0</v>
      </c>
      <c r="L610" s="17"/>
      <c r="M610" s="20" t="s">
        <v>2348</v>
      </c>
    </row>
    <row r="611" ht="15.75" customHeight="1">
      <c r="A611" s="14" t="s">
        <v>97</v>
      </c>
      <c r="B611" s="15">
        <v>493.0</v>
      </c>
      <c r="C611" s="17" t="s">
        <v>2349</v>
      </c>
      <c r="D611" s="16" t="s">
        <v>138</v>
      </c>
      <c r="E611" s="15">
        <v>9757.0</v>
      </c>
      <c r="F611" s="19">
        <v>0.9235210601041174</v>
      </c>
      <c r="G611" s="15">
        <v>0.0</v>
      </c>
      <c r="H611" s="15">
        <v>0.0</v>
      </c>
      <c r="I611" s="15">
        <v>3.0</v>
      </c>
      <c r="J611" s="15">
        <v>0.0</v>
      </c>
      <c r="K611" s="15">
        <v>0.0</v>
      </c>
      <c r="L611" s="17"/>
      <c r="M611" s="20" t="s">
        <v>1884</v>
      </c>
    </row>
    <row r="612" ht="15.75" customHeight="1">
      <c r="A612" s="14" t="s">
        <v>97</v>
      </c>
      <c r="B612" s="15">
        <v>494.0</v>
      </c>
      <c r="C612" s="17" t="s">
        <v>2350</v>
      </c>
      <c r="D612" s="16" t="s">
        <v>357</v>
      </c>
      <c r="E612" s="15">
        <v>9757.0</v>
      </c>
      <c r="F612" s="19">
        <v>0.9235210601041174</v>
      </c>
      <c r="G612" s="15">
        <v>0.0</v>
      </c>
      <c r="H612" s="15">
        <v>0.0</v>
      </c>
      <c r="I612" s="15">
        <v>2.0</v>
      </c>
      <c r="J612" s="15">
        <v>0.0</v>
      </c>
      <c r="K612" s="15">
        <v>0.0</v>
      </c>
      <c r="L612" s="17"/>
      <c r="M612" s="20" t="s">
        <v>930</v>
      </c>
    </row>
    <row r="613" ht="15.75" customHeight="1">
      <c r="A613" s="14" t="s">
        <v>97</v>
      </c>
      <c r="B613" s="15">
        <v>495.0</v>
      </c>
      <c r="C613" s="17" t="s">
        <v>2351</v>
      </c>
      <c r="D613" s="16" t="s">
        <v>357</v>
      </c>
      <c r="E613" s="15">
        <v>9757.0</v>
      </c>
      <c r="F613" s="19">
        <v>0.9235210601041174</v>
      </c>
      <c r="G613" s="15">
        <v>0.0</v>
      </c>
      <c r="H613" s="15">
        <v>0.0</v>
      </c>
      <c r="I613" s="15">
        <v>1.0</v>
      </c>
      <c r="J613" s="15">
        <v>0.0</v>
      </c>
      <c r="K613" s="15">
        <v>0.0</v>
      </c>
      <c r="L613" s="17"/>
      <c r="M613" s="20" t="s">
        <v>75</v>
      </c>
    </row>
    <row r="614" ht="15.75" customHeight="1">
      <c r="A614" s="14" t="s">
        <v>97</v>
      </c>
      <c r="B614" s="15">
        <v>496.0</v>
      </c>
      <c r="C614" s="17" t="s">
        <v>1028</v>
      </c>
      <c r="D614" s="16" t="s">
        <v>68</v>
      </c>
      <c r="E614" s="15">
        <v>9915.0</v>
      </c>
      <c r="F614" s="19">
        <v>0.9384761003312825</v>
      </c>
      <c r="G614" s="15">
        <v>0.0</v>
      </c>
      <c r="H614" s="15">
        <v>0.0</v>
      </c>
      <c r="I614" s="15">
        <v>6.0</v>
      </c>
      <c r="J614" s="15">
        <v>1.0</v>
      </c>
      <c r="K614" s="15">
        <v>0.0</v>
      </c>
      <c r="L614" s="17"/>
      <c r="M614" s="20" t="s">
        <v>2352</v>
      </c>
    </row>
    <row r="615" ht="15.75" customHeight="1">
      <c r="A615" s="14" t="s">
        <v>97</v>
      </c>
      <c r="B615" s="15">
        <v>497.0</v>
      </c>
      <c r="C615" s="17" t="s">
        <v>2030</v>
      </c>
      <c r="D615" s="16" t="s">
        <v>138</v>
      </c>
      <c r="E615" s="15">
        <v>10564.0</v>
      </c>
      <c r="F615" s="19">
        <v>0.9999053478466635</v>
      </c>
      <c r="G615" s="15">
        <v>0.0</v>
      </c>
      <c r="H615" s="15">
        <v>0.0</v>
      </c>
      <c r="I615" s="15">
        <v>1.0</v>
      </c>
      <c r="J615" s="15">
        <v>0.0</v>
      </c>
      <c r="K615" s="15">
        <v>0.0</v>
      </c>
      <c r="L615" s="17"/>
      <c r="M615" s="20" t="s">
        <v>2353</v>
      </c>
    </row>
    <row r="616" ht="15.75" customHeight="1">
      <c r="A616" s="14" t="s">
        <v>97</v>
      </c>
      <c r="B616" s="15">
        <v>498.0</v>
      </c>
      <c r="C616" s="17" t="s">
        <v>2028</v>
      </c>
      <c r="D616" s="16" t="s">
        <v>458</v>
      </c>
      <c r="E616" s="15">
        <v>10564.0</v>
      </c>
      <c r="F616" s="19">
        <v>0.9999053478466635</v>
      </c>
      <c r="G616" s="15">
        <v>0.0</v>
      </c>
      <c r="H616" s="15">
        <v>0.0</v>
      </c>
      <c r="I616" s="15">
        <v>1.0</v>
      </c>
      <c r="J616" s="15">
        <v>0.0</v>
      </c>
      <c r="K616" s="15">
        <v>0.0</v>
      </c>
      <c r="L616" s="17"/>
      <c r="M616" s="20" t="s">
        <v>2354</v>
      </c>
    </row>
    <row r="617" ht="15.75" customHeight="1">
      <c r="A617" s="14" t="s">
        <v>97</v>
      </c>
      <c r="B617" s="15">
        <v>499.0</v>
      </c>
      <c r="C617" s="17" t="s">
        <v>1614</v>
      </c>
      <c r="D617" s="16" t="s">
        <v>68</v>
      </c>
      <c r="E617" s="15">
        <v>9763.0</v>
      </c>
      <c r="F617" s="19">
        <v>0.9240889730241363</v>
      </c>
      <c r="G617" s="15">
        <v>0.0</v>
      </c>
      <c r="H617" s="15">
        <v>0.0</v>
      </c>
      <c r="I617" s="15">
        <v>771.0</v>
      </c>
      <c r="J617" s="15">
        <v>0.0</v>
      </c>
      <c r="K617" s="15">
        <v>0.0</v>
      </c>
      <c r="L617" s="17"/>
      <c r="M617" s="20" t="s">
        <v>2355</v>
      </c>
    </row>
    <row r="618" ht="15.75" customHeight="1">
      <c r="A618" s="14" t="s">
        <v>97</v>
      </c>
      <c r="B618" s="15">
        <v>500.0</v>
      </c>
      <c r="C618" s="17" t="s">
        <v>1824</v>
      </c>
      <c r="D618" s="16" t="s">
        <v>68</v>
      </c>
      <c r="E618" s="15">
        <v>9763.0</v>
      </c>
      <c r="F618" s="19">
        <v>0.9240889730241363</v>
      </c>
      <c r="G618" s="15">
        <v>789.0</v>
      </c>
      <c r="H618" s="15">
        <v>0.0</v>
      </c>
      <c r="I618" s="15">
        <v>3.0</v>
      </c>
      <c r="J618" s="15">
        <v>0.0</v>
      </c>
      <c r="K618" s="15">
        <v>0.0</v>
      </c>
      <c r="L618" s="17"/>
      <c r="M618" s="20" t="s">
        <v>1656</v>
      </c>
    </row>
    <row r="619" ht="15.75" customHeight="1">
      <c r="A619" s="14" t="s">
        <v>97</v>
      </c>
      <c r="B619" s="15">
        <v>501.0</v>
      </c>
      <c r="C619" s="17" t="s">
        <v>1023</v>
      </c>
      <c r="D619" s="16" t="s">
        <v>68</v>
      </c>
      <c r="E619" s="15">
        <v>9763.0</v>
      </c>
      <c r="F619" s="19">
        <v>0.9240889730241363</v>
      </c>
      <c r="G619" s="15">
        <v>0.0</v>
      </c>
      <c r="H619" s="15">
        <v>0.0</v>
      </c>
      <c r="I619" s="15">
        <v>3.0</v>
      </c>
      <c r="J619" s="15">
        <v>1.0</v>
      </c>
      <c r="K619" s="15">
        <v>0.0</v>
      </c>
      <c r="L619" s="17"/>
      <c r="M619" s="20" t="s">
        <v>1969</v>
      </c>
    </row>
    <row r="620" ht="15.75" customHeight="1">
      <c r="A620" s="14" t="s">
        <v>97</v>
      </c>
      <c r="B620" s="15">
        <v>502.0</v>
      </c>
      <c r="C620" s="17" t="s">
        <v>2357</v>
      </c>
      <c r="D620" s="16" t="s">
        <v>68</v>
      </c>
      <c r="E620" s="15">
        <v>9928.0</v>
      </c>
      <c r="F620" s="19">
        <v>0.9397065783246569</v>
      </c>
      <c r="G620" s="15">
        <v>0.0</v>
      </c>
      <c r="H620" s="15">
        <v>0.0</v>
      </c>
      <c r="I620" s="15">
        <v>2.0</v>
      </c>
      <c r="J620" s="15">
        <v>0.0</v>
      </c>
      <c r="K620" s="15">
        <v>0.0</v>
      </c>
      <c r="L620" s="17"/>
      <c r="M620" s="20" t="s">
        <v>1472</v>
      </c>
    </row>
    <row r="621" ht="15.75" customHeight="1">
      <c r="A621" s="14" t="s">
        <v>97</v>
      </c>
      <c r="B621" s="15">
        <v>503.0</v>
      </c>
      <c r="C621" s="17" t="s">
        <v>1616</v>
      </c>
      <c r="D621" s="16" t="s">
        <v>68</v>
      </c>
      <c r="E621" s="15">
        <v>10544.0</v>
      </c>
      <c r="F621" s="19">
        <v>0.9980123047799337</v>
      </c>
      <c r="G621" s="15">
        <v>0.0</v>
      </c>
      <c r="H621" s="15">
        <v>0.0</v>
      </c>
      <c r="I621" s="15">
        <v>21.0</v>
      </c>
      <c r="J621" s="15">
        <v>0.0</v>
      </c>
      <c r="K621" s="15">
        <v>0.0</v>
      </c>
      <c r="L621" s="17"/>
      <c r="M621" s="20" t="s">
        <v>2358</v>
      </c>
    </row>
    <row r="622" ht="15.75" customHeight="1">
      <c r="A622" s="14" t="s">
        <v>97</v>
      </c>
      <c r="B622" s="15">
        <v>504.0</v>
      </c>
      <c r="C622" s="17" t="s">
        <v>1825</v>
      </c>
      <c r="D622" s="16" t="s">
        <v>68</v>
      </c>
      <c r="E622" s="15">
        <v>10544.0</v>
      </c>
      <c r="F622" s="19">
        <v>0.9980123047799337</v>
      </c>
      <c r="G622" s="15">
        <v>10.0</v>
      </c>
      <c r="H622" s="15">
        <v>0.0</v>
      </c>
      <c r="I622" s="15">
        <v>4.0</v>
      </c>
      <c r="J622" s="15">
        <v>0.0</v>
      </c>
      <c r="K622" s="15">
        <v>0.0</v>
      </c>
      <c r="L622" s="17"/>
      <c r="M622" s="20" t="s">
        <v>1695</v>
      </c>
    </row>
    <row r="623" ht="15.75" customHeight="1">
      <c r="A623" s="14" t="s">
        <v>97</v>
      </c>
      <c r="B623" s="15">
        <v>505.0</v>
      </c>
      <c r="C623" s="17" t="s">
        <v>2005</v>
      </c>
      <c r="D623" s="16" t="s">
        <v>68</v>
      </c>
      <c r="E623" s="15">
        <v>10544.0</v>
      </c>
      <c r="F623" s="19">
        <v>0.9980123047799337</v>
      </c>
      <c r="G623" s="15">
        <v>0.0</v>
      </c>
      <c r="H623" s="15">
        <v>0.0</v>
      </c>
      <c r="I623" s="15">
        <v>2.0</v>
      </c>
      <c r="J623" s="15">
        <v>0.0</v>
      </c>
      <c r="K623" s="15">
        <v>0.0</v>
      </c>
      <c r="L623" s="17"/>
      <c r="M623" s="20" t="s">
        <v>1501</v>
      </c>
    </row>
    <row r="624" ht="15.75" customHeight="1">
      <c r="A624" s="14" t="s">
        <v>97</v>
      </c>
      <c r="B624" s="15">
        <v>506.0</v>
      </c>
      <c r="C624" s="17" t="s">
        <v>2007</v>
      </c>
      <c r="D624" s="16" t="s">
        <v>68</v>
      </c>
      <c r="E624" s="15">
        <v>10554.0</v>
      </c>
      <c r="F624" s="19">
        <v>0.9989588263132986</v>
      </c>
      <c r="G624" s="15">
        <v>0.0</v>
      </c>
      <c r="H624" s="15">
        <v>0.0</v>
      </c>
      <c r="I624" s="15">
        <v>2.0</v>
      </c>
      <c r="J624" s="15">
        <v>0.0</v>
      </c>
      <c r="K624" s="15">
        <v>0.0</v>
      </c>
      <c r="L624" s="17"/>
      <c r="M624" s="20" t="s">
        <v>1989</v>
      </c>
    </row>
    <row r="625" ht="15.75" customHeight="1">
      <c r="A625" s="14" t="s">
        <v>97</v>
      </c>
      <c r="B625" s="15">
        <v>507.0</v>
      </c>
      <c r="C625" s="17" t="s">
        <v>1619</v>
      </c>
      <c r="D625" s="16" t="s">
        <v>68</v>
      </c>
      <c r="E625" s="15">
        <v>10558.0</v>
      </c>
      <c r="F625" s="19">
        <v>0.9993374349266446</v>
      </c>
      <c r="G625" s="15">
        <v>0.0</v>
      </c>
      <c r="H625" s="15">
        <v>0.0</v>
      </c>
      <c r="I625" s="15">
        <v>7.0</v>
      </c>
      <c r="J625" s="15">
        <v>0.0</v>
      </c>
      <c r="K625" s="15">
        <v>0.0</v>
      </c>
      <c r="L625" s="17"/>
      <c r="M625" s="20" t="s">
        <v>2360</v>
      </c>
    </row>
    <row r="626" ht="15.75" customHeight="1">
      <c r="A626" s="14" t="s">
        <v>97</v>
      </c>
      <c r="B626" s="15">
        <v>508.0</v>
      </c>
      <c r="C626" s="17" t="s">
        <v>2015</v>
      </c>
      <c r="D626" s="16" t="s">
        <v>68</v>
      </c>
      <c r="E626" s="15">
        <v>10558.0</v>
      </c>
      <c r="F626" s="19">
        <v>0.9993374349266446</v>
      </c>
      <c r="G626" s="15">
        <v>0.0</v>
      </c>
      <c r="H626" s="15">
        <v>0.0</v>
      </c>
      <c r="I626" s="15">
        <v>3.0</v>
      </c>
      <c r="J626" s="15">
        <v>0.0</v>
      </c>
      <c r="K626" s="15">
        <v>0.0</v>
      </c>
      <c r="L626" s="17"/>
      <c r="M626" s="20" t="s">
        <v>2362</v>
      </c>
    </row>
    <row r="627" ht="15.75" customHeight="1">
      <c r="A627" s="14" t="s">
        <v>97</v>
      </c>
      <c r="B627" s="15">
        <v>509.0</v>
      </c>
      <c r="C627" s="17" t="s">
        <v>2009</v>
      </c>
      <c r="D627" s="16" t="s">
        <v>68</v>
      </c>
      <c r="E627" s="15">
        <v>10558.0</v>
      </c>
      <c r="F627" s="19">
        <v>0.9993374349266446</v>
      </c>
      <c r="G627" s="15">
        <v>0.0</v>
      </c>
      <c r="H627" s="15">
        <v>0.0</v>
      </c>
      <c r="I627" s="15">
        <v>2.0</v>
      </c>
      <c r="J627" s="15">
        <v>0.0</v>
      </c>
      <c r="K627" s="15">
        <v>0.0</v>
      </c>
      <c r="L627" s="17"/>
      <c r="M627" s="20" t="s">
        <v>1167</v>
      </c>
    </row>
    <row r="628" ht="15.75" customHeight="1">
      <c r="A628" s="14" t="s">
        <v>97</v>
      </c>
      <c r="B628" s="15">
        <v>510.0</v>
      </c>
      <c r="C628" s="17" t="s">
        <v>2012</v>
      </c>
      <c r="D628" s="16" t="s">
        <v>68</v>
      </c>
      <c r="E628" s="15">
        <v>10562.0</v>
      </c>
      <c r="F628" s="19">
        <v>0.9997160435399906</v>
      </c>
      <c r="G628" s="15">
        <v>0.0</v>
      </c>
      <c r="H628" s="15">
        <v>0.0</v>
      </c>
      <c r="I628" s="15">
        <v>1.0</v>
      </c>
      <c r="J628" s="15">
        <v>0.0</v>
      </c>
      <c r="K628" s="15">
        <v>0.0</v>
      </c>
      <c r="L628" s="17"/>
      <c r="M628" s="20" t="s">
        <v>1203</v>
      </c>
    </row>
    <row r="629" ht="15.75" customHeight="1">
      <c r="A629" s="14" t="s">
        <v>97</v>
      </c>
      <c r="B629" s="15">
        <v>511.0</v>
      </c>
      <c r="C629" s="17" t="s">
        <v>1620</v>
      </c>
      <c r="D629" s="16" t="s">
        <v>68</v>
      </c>
      <c r="E629" s="15">
        <v>10560.0</v>
      </c>
      <c r="F629" s="19">
        <v>0.9995267392333176</v>
      </c>
      <c r="G629" s="15">
        <v>0.0</v>
      </c>
      <c r="H629" s="15">
        <v>0.0</v>
      </c>
      <c r="I629" s="15">
        <v>5.0</v>
      </c>
      <c r="J629" s="15">
        <v>0.0</v>
      </c>
      <c r="K629" s="15">
        <v>0.0</v>
      </c>
      <c r="L629" s="17"/>
      <c r="M629" s="20" t="s">
        <v>2363</v>
      </c>
    </row>
    <row r="630" ht="15.75" customHeight="1">
      <c r="A630" s="14" t="s">
        <v>97</v>
      </c>
      <c r="B630" s="15">
        <v>512.0</v>
      </c>
      <c r="C630" s="17" t="s">
        <v>2026</v>
      </c>
      <c r="D630" s="16" t="s">
        <v>68</v>
      </c>
      <c r="E630" s="15">
        <v>10560.0</v>
      </c>
      <c r="F630" s="19">
        <v>0.9995267392333176</v>
      </c>
      <c r="G630" s="15">
        <v>0.0</v>
      </c>
      <c r="H630" s="15">
        <v>0.0</v>
      </c>
      <c r="I630" s="15">
        <v>2.0</v>
      </c>
      <c r="J630" s="15">
        <v>0.0</v>
      </c>
      <c r="K630" s="15">
        <v>0.0</v>
      </c>
      <c r="L630" s="17"/>
      <c r="M630" s="20" t="s">
        <v>1210</v>
      </c>
    </row>
    <row r="631" ht="15.75" customHeight="1">
      <c r="A631" s="14" t="s">
        <v>97</v>
      </c>
      <c r="B631" s="15">
        <v>513.0</v>
      </c>
      <c r="C631" s="17" t="s">
        <v>2020</v>
      </c>
      <c r="D631" s="16" t="s">
        <v>68</v>
      </c>
      <c r="E631" s="15">
        <v>10560.0</v>
      </c>
      <c r="F631" s="19">
        <v>0.9995267392333176</v>
      </c>
      <c r="G631" s="15">
        <v>0.0</v>
      </c>
      <c r="H631" s="15">
        <v>0.0</v>
      </c>
      <c r="I631" s="15">
        <v>2.0</v>
      </c>
      <c r="J631" s="15">
        <v>0.0</v>
      </c>
      <c r="K631" s="15">
        <v>0.0</v>
      </c>
      <c r="L631" s="17"/>
      <c r="M631" s="20" t="s">
        <v>1167</v>
      </c>
    </row>
    <row r="632" ht="15.75" customHeight="1">
      <c r="A632" s="14" t="s">
        <v>97</v>
      </c>
      <c r="B632" s="15">
        <v>514.0</v>
      </c>
      <c r="C632" s="17" t="s">
        <v>2024</v>
      </c>
      <c r="D632" s="16" t="s">
        <v>68</v>
      </c>
      <c r="E632" s="15">
        <v>10563.0</v>
      </c>
      <c r="F632" s="19">
        <v>0.999810695693327</v>
      </c>
      <c r="G632" s="15">
        <v>0.0</v>
      </c>
      <c r="H632" s="15">
        <v>0.0</v>
      </c>
      <c r="I632" s="15">
        <v>1.0</v>
      </c>
      <c r="J632" s="15">
        <v>0.0</v>
      </c>
      <c r="K632" s="15">
        <v>0.0</v>
      </c>
      <c r="L632" s="17"/>
      <c r="M632" s="20" t="s">
        <v>1203</v>
      </c>
    </row>
    <row r="633" ht="15.75" customHeight="1">
      <c r="A633" s="14" t="s">
        <v>97</v>
      </c>
      <c r="B633" s="15">
        <v>515.0</v>
      </c>
      <c r="C633" s="17" t="s">
        <v>570</v>
      </c>
      <c r="D633" s="16" t="s">
        <v>458</v>
      </c>
      <c r="E633" s="15">
        <v>9768.0</v>
      </c>
      <c r="F633" s="19">
        <v>0.9245622337908187</v>
      </c>
      <c r="G633" s="15">
        <v>0.0</v>
      </c>
      <c r="H633" s="15">
        <v>0.0</v>
      </c>
      <c r="I633" s="15">
        <v>764.0</v>
      </c>
      <c r="J633" s="15">
        <v>0.0</v>
      </c>
      <c r="K633" s="15">
        <v>0.0</v>
      </c>
      <c r="L633" s="17"/>
      <c r="M633" s="20" t="s">
        <v>2365</v>
      </c>
    </row>
    <row r="634" ht="15.75" customHeight="1">
      <c r="A634" s="14" t="s">
        <v>97</v>
      </c>
      <c r="B634" s="15">
        <v>516.0</v>
      </c>
      <c r="C634" s="17" t="s">
        <v>1995</v>
      </c>
      <c r="D634" s="16" t="s">
        <v>458</v>
      </c>
      <c r="E634" s="15">
        <v>10553.0</v>
      </c>
      <c r="F634" s="19">
        <v>0.9988641741599621</v>
      </c>
      <c r="G634" s="15">
        <v>0.0</v>
      </c>
      <c r="H634" s="15">
        <v>0.0</v>
      </c>
      <c r="I634" s="15">
        <v>12.0</v>
      </c>
      <c r="J634" s="15">
        <v>0.0</v>
      </c>
      <c r="K634" s="15">
        <v>0.0</v>
      </c>
      <c r="L634" s="17"/>
      <c r="M634" s="20" t="s">
        <v>2367</v>
      </c>
    </row>
    <row r="635" ht="15.75" customHeight="1">
      <c r="A635" s="14" t="s">
        <v>97</v>
      </c>
      <c r="B635" s="15">
        <v>517.0</v>
      </c>
      <c r="C635" s="17" t="s">
        <v>1996</v>
      </c>
      <c r="D635" s="16" t="s">
        <v>458</v>
      </c>
      <c r="E635" s="15">
        <v>10560.0</v>
      </c>
      <c r="F635" s="19">
        <v>0.9995267392333176</v>
      </c>
      <c r="G635" s="15">
        <v>0.0</v>
      </c>
      <c r="H635" s="15">
        <v>0.0</v>
      </c>
      <c r="I635" s="15">
        <v>5.0</v>
      </c>
      <c r="J635" s="15">
        <v>0.0</v>
      </c>
      <c r="K635" s="15">
        <v>0.0</v>
      </c>
      <c r="L635" s="17"/>
      <c r="M635" s="20" t="s">
        <v>2369</v>
      </c>
    </row>
    <row r="636" ht="15.75" customHeight="1">
      <c r="A636" s="14" t="s">
        <v>97</v>
      </c>
      <c r="B636" s="15">
        <v>518.0</v>
      </c>
      <c r="C636" s="17" t="s">
        <v>1998</v>
      </c>
      <c r="D636" s="16" t="s">
        <v>458</v>
      </c>
      <c r="E636" s="15">
        <v>10562.0</v>
      </c>
      <c r="F636" s="19">
        <v>0.9997160435399906</v>
      </c>
      <c r="G636" s="15">
        <v>0.0</v>
      </c>
      <c r="H636" s="15">
        <v>0.0</v>
      </c>
      <c r="I636" s="15">
        <v>3.0</v>
      </c>
      <c r="J636" s="15">
        <v>0.0</v>
      </c>
      <c r="K636" s="15">
        <v>0.0</v>
      </c>
      <c r="L636" s="17"/>
      <c r="M636" s="20" t="s">
        <v>2371</v>
      </c>
    </row>
    <row r="637" ht="15.75" customHeight="1">
      <c r="A637" s="14" t="s">
        <v>97</v>
      </c>
      <c r="B637" s="15">
        <v>519.0</v>
      </c>
      <c r="C637" s="17" t="s">
        <v>1999</v>
      </c>
      <c r="D637" s="16" t="s">
        <v>458</v>
      </c>
      <c r="E637" s="15">
        <v>10564.0</v>
      </c>
      <c r="F637" s="19">
        <v>0.9999053478466635</v>
      </c>
      <c r="G637" s="15">
        <v>0.0</v>
      </c>
      <c r="H637" s="15">
        <v>0.0</v>
      </c>
      <c r="I637" s="15">
        <v>1.0</v>
      </c>
      <c r="J637" s="15">
        <v>0.0</v>
      </c>
      <c r="K637" s="15">
        <v>0.0</v>
      </c>
      <c r="L637" s="17"/>
      <c r="M637" s="20" t="s">
        <v>2373</v>
      </c>
    </row>
    <row r="638" ht="15.75" customHeight="1">
      <c r="A638" s="14" t="s">
        <v>97</v>
      </c>
      <c r="B638" s="15">
        <v>520.0</v>
      </c>
      <c r="C638" s="17" t="s">
        <v>2001</v>
      </c>
      <c r="D638" s="16" t="s">
        <v>458</v>
      </c>
      <c r="E638" s="15">
        <v>10564.0</v>
      </c>
      <c r="F638" s="19">
        <v>0.9999053478466635</v>
      </c>
      <c r="G638" s="15">
        <v>0.0</v>
      </c>
      <c r="H638" s="15">
        <v>0.0</v>
      </c>
      <c r="I638" s="15">
        <v>1.0</v>
      </c>
      <c r="J638" s="15">
        <v>0.0</v>
      </c>
      <c r="K638" s="15">
        <v>0.0</v>
      </c>
      <c r="L638" s="17"/>
      <c r="M638" s="20" t="s">
        <v>2375</v>
      </c>
    </row>
    <row r="639" ht="15.75" customHeight="1">
      <c r="A639" s="14" t="s">
        <v>97</v>
      </c>
      <c r="B639" s="15">
        <v>521.0</v>
      </c>
      <c r="C639" s="17" t="s">
        <v>2003</v>
      </c>
      <c r="D639" s="16" t="s">
        <v>458</v>
      </c>
      <c r="E639" s="15">
        <v>10564.0</v>
      </c>
      <c r="F639" s="19">
        <v>0.9999053478466635</v>
      </c>
      <c r="G639" s="15">
        <v>0.0</v>
      </c>
      <c r="H639" s="15">
        <v>0.0</v>
      </c>
      <c r="I639" s="15">
        <v>1.0</v>
      </c>
      <c r="J639" s="15">
        <v>0.0</v>
      </c>
      <c r="K639" s="15">
        <v>0.0</v>
      </c>
      <c r="L639" s="17"/>
      <c r="M639" s="20" t="s">
        <v>2377</v>
      </c>
    </row>
    <row r="640" ht="15.75" customHeight="1">
      <c r="A640" s="14" t="s">
        <v>97</v>
      </c>
      <c r="B640" s="15">
        <v>522.0</v>
      </c>
      <c r="C640" s="17" t="s">
        <v>421</v>
      </c>
      <c r="D640" s="16" t="s">
        <v>68</v>
      </c>
      <c r="E640" s="15">
        <v>10501.0</v>
      </c>
      <c r="F640" s="19">
        <v>0.9939422621864648</v>
      </c>
      <c r="G640" s="15">
        <v>0.0</v>
      </c>
      <c r="H640" s="15">
        <v>0.0</v>
      </c>
      <c r="I640" s="15">
        <v>64.0</v>
      </c>
      <c r="J640" s="15">
        <v>0.0</v>
      </c>
      <c r="K640" s="15">
        <v>8.0</v>
      </c>
      <c r="L640" s="17"/>
      <c r="M640" s="20" t="s">
        <v>2379</v>
      </c>
    </row>
    <row r="641" ht="15.75" customHeight="1">
      <c r="A641" s="14" t="s">
        <v>97</v>
      </c>
      <c r="B641" s="15">
        <v>523.0</v>
      </c>
      <c r="C641" s="17" t="s">
        <v>1031</v>
      </c>
      <c r="D641" s="16" t="s">
        <v>68</v>
      </c>
      <c r="E641" s="15">
        <v>10501.0</v>
      </c>
      <c r="F641" s="19">
        <v>0.9939422621864648</v>
      </c>
      <c r="G641" s="15">
        <v>58.0</v>
      </c>
      <c r="H641" s="15">
        <v>0.0</v>
      </c>
      <c r="I641" s="15">
        <v>4.0</v>
      </c>
      <c r="J641" s="15">
        <v>1.0</v>
      </c>
      <c r="K641" s="15">
        <v>0.0</v>
      </c>
      <c r="L641" s="17"/>
      <c r="M641" s="20" t="s">
        <v>2381</v>
      </c>
    </row>
    <row r="642" ht="15.75" customHeight="1">
      <c r="A642" s="14" t="s">
        <v>97</v>
      </c>
      <c r="B642" s="15">
        <v>524.0</v>
      </c>
      <c r="C642" s="17" t="s">
        <v>2031</v>
      </c>
      <c r="D642" s="16" t="s">
        <v>68</v>
      </c>
      <c r="E642" s="15">
        <v>10562.0</v>
      </c>
      <c r="F642" s="19">
        <v>0.9997160435399906</v>
      </c>
      <c r="G642" s="15">
        <v>0.0</v>
      </c>
      <c r="H642" s="15">
        <v>0.0</v>
      </c>
      <c r="I642" s="15">
        <v>3.0</v>
      </c>
      <c r="J642" s="15">
        <v>0.0</v>
      </c>
      <c r="K642" s="15">
        <v>0.0</v>
      </c>
      <c r="L642" s="17"/>
      <c r="M642" s="20" t="s">
        <v>2382</v>
      </c>
    </row>
    <row r="643" ht="15.75" customHeight="1">
      <c r="A643" s="14" t="s">
        <v>97</v>
      </c>
      <c r="B643" s="15">
        <v>525.0</v>
      </c>
      <c r="C643" s="17" t="s">
        <v>2034</v>
      </c>
      <c r="D643" s="16" t="s">
        <v>138</v>
      </c>
      <c r="E643" s="15">
        <v>10501.0</v>
      </c>
      <c r="F643" s="19">
        <v>0.9939422621864648</v>
      </c>
      <c r="G643" s="15">
        <v>0.0</v>
      </c>
      <c r="H643" s="15">
        <v>0.0</v>
      </c>
      <c r="I643" s="15">
        <v>3.0</v>
      </c>
      <c r="J643" s="15">
        <v>0.0</v>
      </c>
      <c r="K643" s="15">
        <v>0.0</v>
      </c>
      <c r="L643" s="17"/>
      <c r="M643" s="20" t="s">
        <v>1803</v>
      </c>
    </row>
    <row r="644" ht="15.75" customHeight="1">
      <c r="A644" s="14" t="s">
        <v>97</v>
      </c>
      <c r="B644" s="15">
        <v>526.0</v>
      </c>
      <c r="C644" s="17" t="s">
        <v>2035</v>
      </c>
      <c r="D644" s="16" t="s">
        <v>357</v>
      </c>
      <c r="E644" s="15">
        <v>10501.0</v>
      </c>
      <c r="F644" s="19">
        <v>0.9939422621864648</v>
      </c>
      <c r="G644" s="15">
        <v>0.0</v>
      </c>
      <c r="H644" s="15">
        <v>0.0</v>
      </c>
      <c r="I644" s="15">
        <v>2.0</v>
      </c>
      <c r="J644" s="15">
        <v>0.0</v>
      </c>
      <c r="K644" s="15">
        <v>0.0</v>
      </c>
      <c r="L644" s="17"/>
      <c r="M644" s="20" t="s">
        <v>930</v>
      </c>
    </row>
    <row r="645" ht="15.75" customHeight="1">
      <c r="A645" s="14" t="s">
        <v>97</v>
      </c>
      <c r="B645" s="15">
        <v>527.0</v>
      </c>
      <c r="C645" s="17" t="s">
        <v>2044</v>
      </c>
      <c r="D645" s="16" t="s">
        <v>357</v>
      </c>
      <c r="E645" s="15">
        <v>10501.0</v>
      </c>
      <c r="F645" s="19">
        <v>0.9939422621864648</v>
      </c>
      <c r="G645" s="15">
        <v>0.0</v>
      </c>
      <c r="H645" s="15">
        <v>0.0</v>
      </c>
      <c r="I645" s="15">
        <v>1.0</v>
      </c>
      <c r="J645" s="15">
        <v>0.0</v>
      </c>
      <c r="K645" s="15">
        <v>0.0</v>
      </c>
      <c r="L645" s="17"/>
      <c r="M645" s="20" t="s">
        <v>75</v>
      </c>
    </row>
    <row r="646" ht="15.75" customHeight="1">
      <c r="A646" s="14" t="s">
        <v>97</v>
      </c>
      <c r="B646" s="15">
        <v>528.0</v>
      </c>
      <c r="C646" s="17" t="s">
        <v>2068</v>
      </c>
      <c r="D646" s="16" t="s">
        <v>68</v>
      </c>
      <c r="E646" s="15">
        <v>10516.0</v>
      </c>
      <c r="F646" s="19">
        <v>0.9953620444865121</v>
      </c>
      <c r="G646" s="15">
        <v>0.0</v>
      </c>
      <c r="H646" s="15">
        <v>0.0</v>
      </c>
      <c r="I646" s="15">
        <v>3.0</v>
      </c>
      <c r="J646" s="15">
        <v>0.0</v>
      </c>
      <c r="K646" s="15">
        <v>0.0</v>
      </c>
      <c r="L646" s="17"/>
      <c r="M646" s="20" t="s">
        <v>2316</v>
      </c>
    </row>
    <row r="647" ht="15.75" customHeight="1">
      <c r="A647" s="14" t="s">
        <v>97</v>
      </c>
      <c r="B647" s="15">
        <v>529.0</v>
      </c>
      <c r="C647" s="17" t="s">
        <v>2066</v>
      </c>
      <c r="D647" s="16" t="s">
        <v>458</v>
      </c>
      <c r="E647" s="15">
        <v>10563.0</v>
      </c>
      <c r="F647" s="19">
        <v>0.999810695693327</v>
      </c>
      <c r="G647" s="15">
        <v>0.0</v>
      </c>
      <c r="H647" s="15">
        <v>0.0</v>
      </c>
      <c r="I647" s="15">
        <v>2.0</v>
      </c>
      <c r="J647" s="15">
        <v>0.0</v>
      </c>
      <c r="K647" s="15">
        <v>0.0</v>
      </c>
      <c r="L647" s="17"/>
      <c r="M647" s="20" t="s">
        <v>2383</v>
      </c>
    </row>
    <row r="648" ht="15.75" customHeight="1">
      <c r="A648" s="14" t="s">
        <v>97</v>
      </c>
      <c r="B648" s="15">
        <v>530.0</v>
      </c>
      <c r="C648" s="17" t="s">
        <v>1622</v>
      </c>
      <c r="D648" s="16" t="s">
        <v>68</v>
      </c>
      <c r="E648" s="15">
        <v>10503.0</v>
      </c>
      <c r="F648" s="19">
        <v>0.9941315664931377</v>
      </c>
      <c r="G648" s="15">
        <v>0.0</v>
      </c>
      <c r="H648" s="15">
        <v>0.0</v>
      </c>
      <c r="I648" s="15">
        <v>62.0</v>
      </c>
      <c r="J648" s="15">
        <v>0.0</v>
      </c>
      <c r="K648" s="15">
        <v>0.0</v>
      </c>
      <c r="L648" s="17"/>
      <c r="M648" s="20" t="s">
        <v>2384</v>
      </c>
    </row>
    <row r="649" ht="15.75" customHeight="1">
      <c r="A649" s="14" t="s">
        <v>97</v>
      </c>
      <c r="B649" s="15">
        <v>531.0</v>
      </c>
      <c r="C649" s="17" t="s">
        <v>1826</v>
      </c>
      <c r="D649" s="16" t="s">
        <v>68</v>
      </c>
      <c r="E649" s="15">
        <v>10503.0</v>
      </c>
      <c r="F649" s="19">
        <v>0.9941315664931377</v>
      </c>
      <c r="G649" s="15">
        <v>52.0</v>
      </c>
      <c r="H649" s="15">
        <v>0.0</v>
      </c>
      <c r="I649" s="15">
        <v>4.0</v>
      </c>
      <c r="J649" s="15">
        <v>0.0</v>
      </c>
      <c r="K649" s="15">
        <v>0.0</v>
      </c>
      <c r="L649" s="17"/>
      <c r="M649" s="20" t="s">
        <v>2386</v>
      </c>
    </row>
    <row r="650" ht="15.75" customHeight="1">
      <c r="A650" s="14" t="s">
        <v>97</v>
      </c>
      <c r="B650" s="15">
        <v>532.0</v>
      </c>
      <c r="C650" s="17" t="s">
        <v>2048</v>
      </c>
      <c r="D650" s="16" t="s">
        <v>68</v>
      </c>
      <c r="E650" s="15">
        <v>10503.0</v>
      </c>
      <c r="F650" s="19">
        <v>0.9941315664931377</v>
      </c>
      <c r="G650" s="15">
        <v>0.0</v>
      </c>
      <c r="H650" s="15">
        <v>0.0</v>
      </c>
      <c r="I650" s="15">
        <v>2.0</v>
      </c>
      <c r="J650" s="15">
        <v>0.0</v>
      </c>
      <c r="K650" s="15">
        <v>0.0</v>
      </c>
      <c r="L650" s="17"/>
      <c r="M650" s="20" t="s">
        <v>1835</v>
      </c>
    </row>
    <row r="651" ht="15.75" customHeight="1">
      <c r="A651" s="14" t="s">
        <v>97</v>
      </c>
      <c r="B651" s="15">
        <v>533.0</v>
      </c>
      <c r="C651" s="17" t="s">
        <v>2050</v>
      </c>
      <c r="D651" s="16" t="s">
        <v>68</v>
      </c>
      <c r="E651" s="15">
        <v>10522.0</v>
      </c>
      <c r="F651" s="19">
        <v>0.995929957406531</v>
      </c>
      <c r="G651" s="15">
        <v>0.0</v>
      </c>
      <c r="H651" s="15">
        <v>0.0</v>
      </c>
      <c r="I651" s="15">
        <v>1.0</v>
      </c>
      <c r="J651" s="15">
        <v>0.0</v>
      </c>
      <c r="K651" s="15">
        <v>0.0</v>
      </c>
      <c r="L651" s="17"/>
      <c r="M651" s="20" t="s">
        <v>2186</v>
      </c>
    </row>
    <row r="652" ht="15.75" customHeight="1">
      <c r="A652" s="14" t="s">
        <v>97</v>
      </c>
      <c r="B652" s="15">
        <v>534.0</v>
      </c>
      <c r="C652" s="17" t="s">
        <v>1624</v>
      </c>
      <c r="D652" s="16" t="s">
        <v>68</v>
      </c>
      <c r="E652" s="15">
        <v>10560.0</v>
      </c>
      <c r="F652" s="19">
        <v>0.9995267392333176</v>
      </c>
      <c r="G652" s="15">
        <v>0.0</v>
      </c>
      <c r="H652" s="15">
        <v>0.0</v>
      </c>
      <c r="I652" s="15">
        <v>5.0</v>
      </c>
      <c r="J652" s="15">
        <v>0.0</v>
      </c>
      <c r="K652" s="15">
        <v>0.0</v>
      </c>
      <c r="L652" s="17"/>
      <c r="M652" s="20" t="s">
        <v>2387</v>
      </c>
    </row>
    <row r="653" ht="15.75" customHeight="1">
      <c r="A653" s="14" t="s">
        <v>97</v>
      </c>
      <c r="B653" s="15">
        <v>535.0</v>
      </c>
      <c r="C653" s="17" t="s">
        <v>1827</v>
      </c>
      <c r="D653" s="16" t="s">
        <v>68</v>
      </c>
      <c r="E653" s="15">
        <v>10560.0</v>
      </c>
      <c r="F653" s="19">
        <v>0.9995267392333176</v>
      </c>
      <c r="G653" s="15">
        <v>2.0</v>
      </c>
      <c r="H653" s="15">
        <v>0.0</v>
      </c>
      <c r="I653" s="15">
        <v>2.0</v>
      </c>
      <c r="J653" s="15">
        <v>0.0</v>
      </c>
      <c r="K653" s="15">
        <v>0.0</v>
      </c>
      <c r="L653" s="17"/>
      <c r="M653" s="20" t="s">
        <v>2180</v>
      </c>
    </row>
    <row r="654" ht="15.75" customHeight="1">
      <c r="A654" s="14" t="s">
        <v>97</v>
      </c>
      <c r="B654" s="15">
        <v>536.0</v>
      </c>
      <c r="C654" s="17" t="s">
        <v>2052</v>
      </c>
      <c r="D654" s="16" t="s">
        <v>68</v>
      </c>
      <c r="E654" s="15">
        <v>10560.0</v>
      </c>
      <c r="F654" s="19">
        <v>0.9995267392333176</v>
      </c>
      <c r="G654" s="15">
        <v>0.0</v>
      </c>
      <c r="H654" s="15">
        <v>0.0</v>
      </c>
      <c r="I654" s="15">
        <v>1.0</v>
      </c>
      <c r="J654" s="15">
        <v>0.0</v>
      </c>
      <c r="K654" s="15">
        <v>0.0</v>
      </c>
      <c r="L654" s="17"/>
      <c r="M654" s="20" t="s">
        <v>1214</v>
      </c>
    </row>
    <row r="655" ht="15.75" customHeight="1">
      <c r="A655" s="14" t="s">
        <v>97</v>
      </c>
      <c r="B655" s="15">
        <v>537.0</v>
      </c>
      <c r="C655" s="17" t="s">
        <v>1632</v>
      </c>
      <c r="D655" s="16" t="s">
        <v>68</v>
      </c>
      <c r="E655" s="15">
        <v>10561.0</v>
      </c>
      <c r="F655" s="19">
        <v>0.9996213913866541</v>
      </c>
      <c r="G655" s="15">
        <v>0.0</v>
      </c>
      <c r="H655" s="15">
        <v>0.0</v>
      </c>
      <c r="I655" s="15">
        <v>4.0</v>
      </c>
      <c r="J655" s="15">
        <v>0.0</v>
      </c>
      <c r="K655" s="15">
        <v>0.0</v>
      </c>
      <c r="L655" s="17"/>
      <c r="M655" s="20" t="s">
        <v>2389</v>
      </c>
    </row>
    <row r="656" ht="15.75" customHeight="1">
      <c r="A656" s="14" t="s">
        <v>97</v>
      </c>
      <c r="B656" s="15">
        <v>538.0</v>
      </c>
      <c r="C656" s="17" t="s">
        <v>1830</v>
      </c>
      <c r="D656" s="16" t="s">
        <v>68</v>
      </c>
      <c r="E656" s="15">
        <v>10561.0</v>
      </c>
      <c r="F656" s="19">
        <v>0.9996213913866541</v>
      </c>
      <c r="G656" s="15">
        <v>1.0</v>
      </c>
      <c r="H656" s="15">
        <v>0.0</v>
      </c>
      <c r="I656" s="15">
        <v>4.0</v>
      </c>
      <c r="J656" s="15">
        <v>0.0</v>
      </c>
      <c r="K656" s="15">
        <v>0.0</v>
      </c>
      <c r="L656" s="17"/>
      <c r="M656" s="20" t="s">
        <v>2391</v>
      </c>
    </row>
    <row r="657" ht="15.75" customHeight="1">
      <c r="A657" s="14" t="s">
        <v>97</v>
      </c>
      <c r="B657" s="15">
        <v>539.0</v>
      </c>
      <c r="C657" s="17" t="s">
        <v>2056</v>
      </c>
      <c r="D657" s="16" t="s">
        <v>68</v>
      </c>
      <c r="E657" s="15">
        <v>10561.0</v>
      </c>
      <c r="F657" s="19">
        <v>0.9996213913866541</v>
      </c>
      <c r="G657" s="15">
        <v>0.0</v>
      </c>
      <c r="H657" s="15">
        <v>0.0</v>
      </c>
      <c r="I657" s="15">
        <v>1.0</v>
      </c>
      <c r="J657" s="15">
        <v>0.0</v>
      </c>
      <c r="K657" s="15">
        <v>0.0</v>
      </c>
      <c r="L657" s="17"/>
      <c r="M657" s="20" t="s">
        <v>1214</v>
      </c>
    </row>
    <row r="658" ht="15.75" customHeight="1">
      <c r="A658" s="14" t="s">
        <v>97</v>
      </c>
      <c r="B658" s="15">
        <v>540.0</v>
      </c>
      <c r="C658" s="17" t="s">
        <v>1638</v>
      </c>
      <c r="D658" s="16" t="s">
        <v>68</v>
      </c>
      <c r="E658" s="15">
        <v>10561.0</v>
      </c>
      <c r="F658" s="19">
        <v>0.9996213913866541</v>
      </c>
      <c r="G658" s="15">
        <v>0.0</v>
      </c>
      <c r="H658" s="15">
        <v>0.0</v>
      </c>
      <c r="I658" s="15">
        <v>4.0</v>
      </c>
      <c r="J658" s="15">
        <v>0.0</v>
      </c>
      <c r="K658" s="15">
        <v>0.0</v>
      </c>
      <c r="L658" s="17"/>
      <c r="M658" s="20" t="s">
        <v>2392</v>
      </c>
    </row>
    <row r="659" ht="15.75" customHeight="1">
      <c r="A659" s="14" t="s">
        <v>97</v>
      </c>
      <c r="B659" s="15">
        <v>541.0</v>
      </c>
      <c r="C659" s="17" t="s">
        <v>1832</v>
      </c>
      <c r="D659" s="16" t="s">
        <v>68</v>
      </c>
      <c r="E659" s="15">
        <v>10561.0</v>
      </c>
      <c r="F659" s="19">
        <v>0.9996213913866541</v>
      </c>
      <c r="G659" s="15">
        <v>1.0</v>
      </c>
      <c r="H659" s="15">
        <v>0.0</v>
      </c>
      <c r="I659" s="15">
        <v>3.0</v>
      </c>
      <c r="J659" s="15">
        <v>0.0</v>
      </c>
      <c r="K659" s="15">
        <v>0.0</v>
      </c>
      <c r="L659" s="17"/>
      <c r="M659" s="20" t="s">
        <v>2391</v>
      </c>
    </row>
    <row r="660" ht="15.75" customHeight="1">
      <c r="A660" s="14" t="s">
        <v>97</v>
      </c>
      <c r="B660" s="15">
        <v>542.0</v>
      </c>
      <c r="C660" s="17" t="s">
        <v>2059</v>
      </c>
      <c r="D660" s="16" t="s">
        <v>68</v>
      </c>
      <c r="E660" s="15">
        <v>10561.0</v>
      </c>
      <c r="F660" s="19">
        <v>0.9996213913866541</v>
      </c>
      <c r="G660" s="15">
        <v>0.0</v>
      </c>
      <c r="H660" s="15">
        <v>0.0</v>
      </c>
      <c r="I660" s="15">
        <v>1.0</v>
      </c>
      <c r="J660" s="15">
        <v>0.0</v>
      </c>
      <c r="K660" s="15">
        <v>0.0</v>
      </c>
      <c r="L660" s="17"/>
      <c r="M660" s="20" t="s">
        <v>1214</v>
      </c>
    </row>
    <row r="661" ht="15.75" customHeight="1">
      <c r="A661" s="14" t="s">
        <v>97</v>
      </c>
      <c r="B661" s="15">
        <v>543.0</v>
      </c>
      <c r="C661" s="17" t="s">
        <v>1643</v>
      </c>
      <c r="D661" s="16" t="s">
        <v>68</v>
      </c>
      <c r="E661" s="15">
        <v>10564.0</v>
      </c>
      <c r="F661" s="19">
        <v>0.9999053478466635</v>
      </c>
      <c r="G661" s="15">
        <v>0.0</v>
      </c>
      <c r="H661" s="15">
        <v>0.0</v>
      </c>
      <c r="I661" s="15">
        <v>1.0</v>
      </c>
      <c r="J661" s="15">
        <v>0.0</v>
      </c>
      <c r="K661" s="15">
        <v>0.0</v>
      </c>
      <c r="L661" s="17"/>
      <c r="M661" s="20" t="s">
        <v>2394</v>
      </c>
    </row>
    <row r="662" ht="15.75" customHeight="1">
      <c r="A662" s="14" t="s">
        <v>97</v>
      </c>
      <c r="B662" s="15">
        <v>544.0</v>
      </c>
      <c r="C662" s="17" t="s">
        <v>1833</v>
      </c>
      <c r="D662" s="16" t="s">
        <v>341</v>
      </c>
      <c r="E662" s="15">
        <v>10564.0</v>
      </c>
      <c r="F662" s="19">
        <v>0.9999053478466635</v>
      </c>
      <c r="G662" s="15">
        <v>1.0</v>
      </c>
      <c r="H662" s="15">
        <v>0.0</v>
      </c>
      <c r="I662" s="15">
        <v>1.0</v>
      </c>
      <c r="J662" s="15">
        <v>0.0</v>
      </c>
      <c r="K662" s="15">
        <v>0.0</v>
      </c>
      <c r="L662" s="17"/>
      <c r="M662" s="20" t="s">
        <v>1514</v>
      </c>
    </row>
    <row r="663" ht="15.75" customHeight="1">
      <c r="A663" s="14" t="s">
        <v>97</v>
      </c>
      <c r="B663" s="15">
        <v>545.0</v>
      </c>
      <c r="C663" s="17" t="s">
        <v>2063</v>
      </c>
      <c r="D663" s="16" t="s">
        <v>68</v>
      </c>
      <c r="E663" s="15">
        <v>10564.0</v>
      </c>
      <c r="F663" s="19">
        <v>0.9999053478466635</v>
      </c>
      <c r="G663" s="15">
        <v>0.0</v>
      </c>
      <c r="H663" s="15">
        <v>0.0</v>
      </c>
      <c r="I663" s="15">
        <v>1.0</v>
      </c>
      <c r="J663" s="15">
        <v>0.0</v>
      </c>
      <c r="K663" s="15">
        <v>0.0</v>
      </c>
      <c r="L663" s="17"/>
      <c r="M663" s="20" t="s">
        <v>1214</v>
      </c>
    </row>
    <row r="664" ht="15.75" customHeight="1">
      <c r="A664" s="14" t="s">
        <v>97</v>
      </c>
      <c r="B664" s="15">
        <v>546.0</v>
      </c>
      <c r="C664" s="17" t="s">
        <v>2037</v>
      </c>
      <c r="D664" s="16" t="s">
        <v>458</v>
      </c>
      <c r="E664" s="15">
        <v>10510.0</v>
      </c>
      <c r="F664" s="19">
        <v>0.9947941315664931</v>
      </c>
      <c r="G664" s="15">
        <v>0.0</v>
      </c>
      <c r="H664" s="15">
        <v>0.0</v>
      </c>
      <c r="I664" s="15">
        <v>55.0</v>
      </c>
      <c r="J664" s="15">
        <v>0.0</v>
      </c>
      <c r="K664" s="15">
        <v>0.0</v>
      </c>
      <c r="L664" s="17"/>
      <c r="M664" s="20" t="s">
        <v>2396</v>
      </c>
    </row>
    <row r="665" ht="15.75" customHeight="1">
      <c r="A665" s="14" t="s">
        <v>97</v>
      </c>
      <c r="B665" s="15">
        <v>547.0</v>
      </c>
      <c r="C665" s="17" t="s">
        <v>2039</v>
      </c>
      <c r="D665" s="16" t="s">
        <v>458</v>
      </c>
      <c r="E665" s="15">
        <v>10563.0</v>
      </c>
      <c r="F665" s="19">
        <v>0.999810695693327</v>
      </c>
      <c r="G665" s="15">
        <v>0.0</v>
      </c>
      <c r="H665" s="15">
        <v>0.0</v>
      </c>
      <c r="I665" s="15">
        <v>2.0</v>
      </c>
      <c r="J665" s="15">
        <v>0.0</v>
      </c>
      <c r="K665" s="15">
        <v>0.0</v>
      </c>
      <c r="L665" s="17"/>
      <c r="M665" s="20" t="s">
        <v>2398</v>
      </c>
    </row>
    <row r="666" ht="15.75" customHeight="1">
      <c r="A666" s="14" t="s">
        <v>97</v>
      </c>
      <c r="B666" s="15">
        <v>548.0</v>
      </c>
      <c r="C666" s="17" t="s">
        <v>2040</v>
      </c>
      <c r="D666" s="16" t="s">
        <v>458</v>
      </c>
      <c r="E666" s="15">
        <v>10563.0</v>
      </c>
      <c r="F666" s="19">
        <v>0.999810695693327</v>
      </c>
      <c r="G666" s="15">
        <v>0.0</v>
      </c>
      <c r="H666" s="15">
        <v>0.0</v>
      </c>
      <c r="I666" s="15">
        <v>2.0</v>
      </c>
      <c r="J666" s="15">
        <v>0.0</v>
      </c>
      <c r="K666" s="15">
        <v>0.0</v>
      </c>
      <c r="L666" s="17"/>
      <c r="M666" s="20" t="s">
        <v>2400</v>
      </c>
    </row>
    <row r="667" ht="15.75" customHeight="1">
      <c r="A667" s="14" t="s">
        <v>97</v>
      </c>
      <c r="B667" s="15">
        <v>549.0</v>
      </c>
      <c r="C667" s="17" t="s">
        <v>2042</v>
      </c>
      <c r="D667" s="16" t="s">
        <v>458</v>
      </c>
      <c r="E667" s="15">
        <v>10563.0</v>
      </c>
      <c r="F667" s="19">
        <v>0.999810695693327</v>
      </c>
      <c r="G667" s="15">
        <v>0.0</v>
      </c>
      <c r="H667" s="15">
        <v>0.0</v>
      </c>
      <c r="I667" s="15">
        <v>2.0</v>
      </c>
      <c r="J667" s="15">
        <v>0.0</v>
      </c>
      <c r="K667" s="15">
        <v>0.0</v>
      </c>
      <c r="L667" s="17"/>
      <c r="M667" s="20" t="s">
        <v>2402</v>
      </c>
    </row>
    <row r="668" ht="15.75" customHeight="1">
      <c r="A668" s="14" t="s">
        <v>97</v>
      </c>
      <c r="B668" s="15">
        <v>550.0</v>
      </c>
      <c r="C668" s="17" t="s">
        <v>425</v>
      </c>
      <c r="D668" s="16" t="s">
        <v>68</v>
      </c>
      <c r="E668" s="15">
        <v>10541.0</v>
      </c>
      <c r="F668" s="19">
        <v>0.9977283483199243</v>
      </c>
      <c r="G668" s="15">
        <v>0.0</v>
      </c>
      <c r="H668" s="15">
        <v>0.0</v>
      </c>
      <c r="I668" s="15">
        <v>24.0</v>
      </c>
      <c r="J668" s="15">
        <v>0.0</v>
      </c>
      <c r="K668" s="15">
        <v>2.0</v>
      </c>
      <c r="L668" s="17"/>
      <c r="M668" s="20" t="s">
        <v>2404</v>
      </c>
    </row>
    <row r="669" ht="15.75" customHeight="1">
      <c r="A669" s="14" t="s">
        <v>97</v>
      </c>
      <c r="B669" s="15">
        <v>551.0</v>
      </c>
      <c r="C669" s="17" t="s">
        <v>1837</v>
      </c>
      <c r="D669" s="16" t="s">
        <v>68</v>
      </c>
      <c r="E669" s="15">
        <v>10541.0</v>
      </c>
      <c r="F669" s="19">
        <v>0.9977283483199243</v>
      </c>
      <c r="G669" s="15">
        <v>20.0</v>
      </c>
      <c r="H669" s="15">
        <v>0.0</v>
      </c>
      <c r="I669" s="15">
        <v>3.0</v>
      </c>
      <c r="J669" s="15">
        <v>0.0</v>
      </c>
      <c r="K669" s="15">
        <v>0.0</v>
      </c>
      <c r="L669" s="17"/>
      <c r="M669" s="20" t="s">
        <v>1613</v>
      </c>
    </row>
    <row r="670" ht="15.75" customHeight="1">
      <c r="A670" s="14" t="s">
        <v>97</v>
      </c>
      <c r="B670" s="15">
        <v>552.0</v>
      </c>
      <c r="C670" s="17" t="s">
        <v>2069</v>
      </c>
      <c r="D670" s="16" t="s">
        <v>68</v>
      </c>
      <c r="E670" s="15">
        <v>10564.0</v>
      </c>
      <c r="F670" s="19">
        <v>0.9999053478466635</v>
      </c>
      <c r="G670" s="15">
        <v>0.0</v>
      </c>
      <c r="H670" s="15">
        <v>0.0</v>
      </c>
      <c r="I670" s="15">
        <v>1.0</v>
      </c>
      <c r="J670" s="15">
        <v>0.0</v>
      </c>
      <c r="K670" s="15">
        <v>0.0</v>
      </c>
      <c r="L670" s="17"/>
      <c r="M670" s="20" t="s">
        <v>2406</v>
      </c>
    </row>
    <row r="671" ht="15.75" customHeight="1">
      <c r="A671" s="14" t="s">
        <v>97</v>
      </c>
      <c r="B671" s="15">
        <v>553.0</v>
      </c>
      <c r="C671" s="17" t="s">
        <v>2072</v>
      </c>
      <c r="D671" s="16" t="s">
        <v>138</v>
      </c>
      <c r="E671" s="15">
        <v>10541.0</v>
      </c>
      <c r="F671" s="19">
        <v>0.9977283483199243</v>
      </c>
      <c r="G671" s="15">
        <v>0.0</v>
      </c>
      <c r="H671" s="15">
        <v>0.0</v>
      </c>
      <c r="I671" s="15">
        <v>3.0</v>
      </c>
      <c r="J671" s="15">
        <v>0.0</v>
      </c>
      <c r="K671" s="15">
        <v>0.0</v>
      </c>
      <c r="L671" s="17"/>
      <c r="M671" s="20" t="s">
        <v>1884</v>
      </c>
    </row>
    <row r="672" ht="15.75" customHeight="1">
      <c r="A672" s="14" t="s">
        <v>97</v>
      </c>
      <c r="B672" s="15">
        <v>554.0</v>
      </c>
      <c r="C672" s="17" t="s">
        <v>2074</v>
      </c>
      <c r="D672" s="16" t="s">
        <v>357</v>
      </c>
      <c r="E672" s="15">
        <v>10541.0</v>
      </c>
      <c r="F672" s="19">
        <v>0.9977283483199243</v>
      </c>
      <c r="G672" s="15">
        <v>0.0</v>
      </c>
      <c r="H672" s="15">
        <v>0.0</v>
      </c>
      <c r="I672" s="15">
        <v>2.0</v>
      </c>
      <c r="J672" s="15">
        <v>0.0</v>
      </c>
      <c r="K672" s="15">
        <v>0.0</v>
      </c>
      <c r="L672" s="17"/>
      <c r="M672" s="20" t="s">
        <v>930</v>
      </c>
    </row>
    <row r="673" ht="15.75" customHeight="1">
      <c r="A673" s="14" t="s">
        <v>97</v>
      </c>
      <c r="B673" s="15">
        <v>555.0</v>
      </c>
      <c r="C673" s="17" t="s">
        <v>2081</v>
      </c>
      <c r="D673" s="16" t="s">
        <v>357</v>
      </c>
      <c r="E673" s="15">
        <v>10541.0</v>
      </c>
      <c r="F673" s="19">
        <v>0.9977283483199243</v>
      </c>
      <c r="G673" s="15">
        <v>0.0</v>
      </c>
      <c r="H673" s="15">
        <v>0.0</v>
      </c>
      <c r="I673" s="15">
        <v>1.0</v>
      </c>
      <c r="J673" s="15">
        <v>0.0</v>
      </c>
      <c r="K673" s="15">
        <v>0.0</v>
      </c>
      <c r="L673" s="17"/>
      <c r="M673" s="20" t="s">
        <v>75</v>
      </c>
    </row>
    <row r="674" ht="15.75" customHeight="1">
      <c r="A674" s="14" t="s">
        <v>97</v>
      </c>
      <c r="B674" s="15">
        <v>556.0</v>
      </c>
      <c r="C674" s="17" t="s">
        <v>2099</v>
      </c>
      <c r="D674" s="16" t="s">
        <v>68</v>
      </c>
      <c r="E674" s="15">
        <v>10546.0</v>
      </c>
      <c r="F674" s="19">
        <v>0.9982016090866067</v>
      </c>
      <c r="G674" s="15">
        <v>0.0</v>
      </c>
      <c r="H674" s="15">
        <v>0.0</v>
      </c>
      <c r="I674" s="15">
        <v>3.0</v>
      </c>
      <c r="J674" s="15">
        <v>0.0</v>
      </c>
      <c r="K674" s="15">
        <v>0.0</v>
      </c>
      <c r="L674" s="17"/>
      <c r="M674" s="20" t="s">
        <v>2407</v>
      </c>
    </row>
    <row r="675" ht="15.75" customHeight="1">
      <c r="A675" s="14" t="s">
        <v>97</v>
      </c>
      <c r="B675" s="15">
        <v>557.0</v>
      </c>
      <c r="C675" s="17" t="s">
        <v>2096</v>
      </c>
      <c r="D675" s="16" t="s">
        <v>458</v>
      </c>
      <c r="E675" s="15">
        <v>10564.0</v>
      </c>
      <c r="F675" s="19">
        <v>0.9999053478466635</v>
      </c>
      <c r="G675" s="15">
        <v>0.0</v>
      </c>
      <c r="H675" s="15">
        <v>0.0</v>
      </c>
      <c r="I675" s="15">
        <v>1.0</v>
      </c>
      <c r="J675" s="15">
        <v>0.0</v>
      </c>
      <c r="K675" s="15">
        <v>0.0</v>
      </c>
      <c r="L675" s="17"/>
      <c r="M675" s="20" t="s">
        <v>2408</v>
      </c>
    </row>
    <row r="676" ht="15.75" customHeight="1">
      <c r="A676" s="14" t="s">
        <v>97</v>
      </c>
      <c r="B676" s="15">
        <v>558.0</v>
      </c>
      <c r="C676" s="17" t="s">
        <v>1649</v>
      </c>
      <c r="D676" s="16" t="s">
        <v>68</v>
      </c>
      <c r="E676" s="15">
        <v>10543.0</v>
      </c>
      <c r="F676" s="19">
        <v>0.9979176526265973</v>
      </c>
      <c r="G676" s="15">
        <v>0.0</v>
      </c>
      <c r="H676" s="15">
        <v>0.0</v>
      </c>
      <c r="I676" s="15">
        <v>22.0</v>
      </c>
      <c r="J676" s="15">
        <v>0.0</v>
      </c>
      <c r="K676" s="15">
        <v>0.0</v>
      </c>
      <c r="L676" s="17"/>
      <c r="M676" s="20" t="s">
        <v>2409</v>
      </c>
    </row>
    <row r="677" ht="15.75" customHeight="1">
      <c r="A677" s="14" t="s">
        <v>97</v>
      </c>
      <c r="B677" s="15">
        <v>559.0</v>
      </c>
      <c r="C677" s="17" t="s">
        <v>1836</v>
      </c>
      <c r="D677" s="16" t="s">
        <v>68</v>
      </c>
      <c r="E677" s="15">
        <v>10543.0</v>
      </c>
      <c r="F677" s="19">
        <v>0.9979176526265973</v>
      </c>
      <c r="G677" s="15">
        <v>18.0</v>
      </c>
      <c r="H677" s="15">
        <v>0.0</v>
      </c>
      <c r="I677" s="15">
        <v>3.0</v>
      </c>
      <c r="J677" s="15">
        <v>0.0</v>
      </c>
      <c r="K677" s="15">
        <v>0.0</v>
      </c>
      <c r="L677" s="17"/>
      <c r="M677" s="20" t="s">
        <v>1811</v>
      </c>
    </row>
    <row r="678" ht="15.75" customHeight="1">
      <c r="A678" s="14" t="s">
        <v>97</v>
      </c>
      <c r="B678" s="15">
        <v>560.0</v>
      </c>
      <c r="C678" s="17" t="s">
        <v>2083</v>
      </c>
      <c r="D678" s="16" t="s">
        <v>68</v>
      </c>
      <c r="E678" s="15">
        <v>10543.0</v>
      </c>
      <c r="F678" s="19">
        <v>0.9979176526265973</v>
      </c>
      <c r="G678" s="15">
        <v>0.0</v>
      </c>
      <c r="H678" s="15">
        <v>0.0</v>
      </c>
      <c r="I678" s="15">
        <v>2.0</v>
      </c>
      <c r="J678" s="15">
        <v>0.0</v>
      </c>
      <c r="K678" s="15">
        <v>0.0</v>
      </c>
      <c r="L678" s="17"/>
      <c r="M678" s="20" t="s">
        <v>1501</v>
      </c>
    </row>
    <row r="679" ht="15.75" customHeight="1">
      <c r="A679" s="14" t="s">
        <v>97</v>
      </c>
      <c r="B679" s="15">
        <v>561.0</v>
      </c>
      <c r="C679" s="17" t="s">
        <v>2085</v>
      </c>
      <c r="D679" s="16" t="s">
        <v>68</v>
      </c>
      <c r="E679" s="15">
        <v>10549.0</v>
      </c>
      <c r="F679" s="19">
        <v>0.9984855655466162</v>
      </c>
      <c r="G679" s="15">
        <v>0.0</v>
      </c>
      <c r="H679" s="15">
        <v>0.0</v>
      </c>
      <c r="I679" s="15">
        <v>1.0</v>
      </c>
      <c r="J679" s="15">
        <v>0.0</v>
      </c>
      <c r="K679" s="15">
        <v>0.0</v>
      </c>
      <c r="L679" s="17"/>
      <c r="M679" s="20" t="s">
        <v>2186</v>
      </c>
    </row>
    <row r="680" ht="15.75" customHeight="1">
      <c r="A680" s="14" t="s">
        <v>97</v>
      </c>
      <c r="B680" s="15">
        <v>562.0</v>
      </c>
      <c r="C680" s="17" t="s">
        <v>2087</v>
      </c>
      <c r="D680" s="16" t="s">
        <v>68</v>
      </c>
      <c r="E680" s="15">
        <v>10563.0</v>
      </c>
      <c r="F680" s="19">
        <v>0.999810695693327</v>
      </c>
      <c r="G680" s="15">
        <v>0.0</v>
      </c>
      <c r="H680" s="15">
        <v>0.0</v>
      </c>
      <c r="I680" s="15">
        <v>2.0</v>
      </c>
      <c r="J680" s="15">
        <v>0.0</v>
      </c>
      <c r="K680" s="15">
        <v>0.0</v>
      </c>
      <c r="L680" s="17"/>
      <c r="M680" s="20" t="s">
        <v>2411</v>
      </c>
    </row>
    <row r="681" ht="15.75" customHeight="1">
      <c r="A681" s="14" t="s">
        <v>97</v>
      </c>
      <c r="B681" s="15">
        <v>563.0</v>
      </c>
      <c r="C681" s="17" t="s">
        <v>2090</v>
      </c>
      <c r="D681" s="16" t="s">
        <v>68</v>
      </c>
      <c r="E681" s="15">
        <v>10563.0</v>
      </c>
      <c r="F681" s="19">
        <v>0.999810695693327</v>
      </c>
      <c r="G681" s="15">
        <v>0.0</v>
      </c>
      <c r="H681" s="15">
        <v>0.0</v>
      </c>
      <c r="I681" s="15">
        <v>1.0</v>
      </c>
      <c r="J681" s="15">
        <v>0.0</v>
      </c>
      <c r="K681" s="15">
        <v>0.0</v>
      </c>
      <c r="L681" s="17"/>
      <c r="M681" s="20" t="s">
        <v>1747</v>
      </c>
    </row>
    <row r="682" ht="15.75" customHeight="1">
      <c r="A682" s="14" t="s">
        <v>97</v>
      </c>
      <c r="B682" s="15">
        <v>564.0</v>
      </c>
      <c r="C682" s="17" t="s">
        <v>2089</v>
      </c>
      <c r="D682" s="16" t="s">
        <v>68</v>
      </c>
      <c r="E682" s="15">
        <v>10563.0</v>
      </c>
      <c r="F682" s="19">
        <v>0.999810695693327</v>
      </c>
      <c r="G682" s="15">
        <v>0.0</v>
      </c>
      <c r="H682" s="15">
        <v>0.0</v>
      </c>
      <c r="I682" s="15">
        <v>1.0</v>
      </c>
      <c r="J682" s="15">
        <v>0.0</v>
      </c>
      <c r="K682" s="15">
        <v>0.0</v>
      </c>
      <c r="L682" s="17"/>
      <c r="M682" s="20" t="s">
        <v>1214</v>
      </c>
    </row>
    <row r="683" ht="15.75" customHeight="1">
      <c r="A683" s="14" t="s">
        <v>97</v>
      </c>
      <c r="B683" s="15">
        <v>565.0</v>
      </c>
      <c r="C683" s="17" t="s">
        <v>2092</v>
      </c>
      <c r="D683" s="16" t="s">
        <v>68</v>
      </c>
      <c r="E683" s="15">
        <v>10564.0</v>
      </c>
      <c r="F683" s="19">
        <v>0.9999053478466635</v>
      </c>
      <c r="G683" s="15">
        <v>0.0</v>
      </c>
      <c r="H683" s="15">
        <v>0.0</v>
      </c>
      <c r="I683" s="15">
        <v>1.0</v>
      </c>
      <c r="J683" s="15">
        <v>0.0</v>
      </c>
      <c r="K683" s="15">
        <v>0.0</v>
      </c>
      <c r="L683" s="17"/>
      <c r="M683" s="20" t="s">
        <v>2413</v>
      </c>
    </row>
    <row r="684" ht="15.75" customHeight="1">
      <c r="A684" s="14" t="s">
        <v>97</v>
      </c>
      <c r="B684" s="15">
        <v>566.0</v>
      </c>
      <c r="C684" s="17" t="s">
        <v>2094</v>
      </c>
      <c r="D684" s="16" t="s">
        <v>68</v>
      </c>
      <c r="E684" s="15">
        <v>10564.0</v>
      </c>
      <c r="F684" s="19">
        <v>0.9999053478466635</v>
      </c>
      <c r="G684" s="15">
        <v>0.0</v>
      </c>
      <c r="H684" s="15">
        <v>0.0</v>
      </c>
      <c r="I684" s="15">
        <v>1.0</v>
      </c>
      <c r="J684" s="15">
        <v>0.0</v>
      </c>
      <c r="K684" s="15">
        <v>0.0</v>
      </c>
      <c r="L684" s="17"/>
      <c r="M684" s="20" t="s">
        <v>1747</v>
      </c>
    </row>
    <row r="685" ht="15.75" customHeight="1">
      <c r="A685" s="14" t="s">
        <v>97</v>
      </c>
      <c r="B685" s="15">
        <v>567.0</v>
      </c>
      <c r="C685" s="17" t="s">
        <v>2093</v>
      </c>
      <c r="D685" s="16" t="s">
        <v>68</v>
      </c>
      <c r="E685" s="15">
        <v>10564.0</v>
      </c>
      <c r="F685" s="19">
        <v>0.9999053478466635</v>
      </c>
      <c r="G685" s="15">
        <v>0.0</v>
      </c>
      <c r="H685" s="15">
        <v>0.0</v>
      </c>
      <c r="I685" s="15">
        <v>1.0</v>
      </c>
      <c r="J685" s="15">
        <v>0.0</v>
      </c>
      <c r="K685" s="15">
        <v>0.0</v>
      </c>
      <c r="L685" s="17"/>
      <c r="M685" s="20" t="s">
        <v>1214</v>
      </c>
    </row>
    <row r="686" ht="15.75" customHeight="1">
      <c r="A686" s="14" t="s">
        <v>97</v>
      </c>
      <c r="B686" s="15">
        <v>568.0</v>
      </c>
      <c r="C686" s="17" t="s">
        <v>2075</v>
      </c>
      <c r="D686" s="16" t="s">
        <v>458</v>
      </c>
      <c r="E686" s="15">
        <v>10546.0</v>
      </c>
      <c r="F686" s="19">
        <v>0.9982016090866067</v>
      </c>
      <c r="G686" s="15">
        <v>0.0</v>
      </c>
      <c r="H686" s="15">
        <v>0.0</v>
      </c>
      <c r="I686" s="15">
        <v>19.0</v>
      </c>
      <c r="J686" s="15">
        <v>0.0</v>
      </c>
      <c r="K686" s="15">
        <v>0.0</v>
      </c>
      <c r="L686" s="17"/>
      <c r="M686" s="20" t="s">
        <v>2415</v>
      </c>
    </row>
    <row r="687" ht="15.75" customHeight="1">
      <c r="A687" s="14" t="s">
        <v>97</v>
      </c>
      <c r="B687" s="15">
        <v>569.0</v>
      </c>
      <c r="C687" s="17" t="s">
        <v>2076</v>
      </c>
      <c r="D687" s="16" t="s">
        <v>458</v>
      </c>
      <c r="E687" s="15">
        <v>10563.0</v>
      </c>
      <c r="F687" s="19">
        <v>0.999810695693327</v>
      </c>
      <c r="G687" s="15">
        <v>0.0</v>
      </c>
      <c r="H687" s="15">
        <v>0.0</v>
      </c>
      <c r="I687" s="15">
        <v>2.0</v>
      </c>
      <c r="J687" s="15">
        <v>0.0</v>
      </c>
      <c r="K687" s="15">
        <v>0.0</v>
      </c>
      <c r="L687" s="17"/>
      <c r="M687" s="20" t="s">
        <v>2417</v>
      </c>
    </row>
    <row r="688" ht="15.75" customHeight="1">
      <c r="A688" s="14" t="s">
        <v>97</v>
      </c>
      <c r="B688" s="15">
        <v>570.0</v>
      </c>
      <c r="C688" s="17" t="s">
        <v>2078</v>
      </c>
      <c r="D688" s="16" t="s">
        <v>458</v>
      </c>
      <c r="E688" s="15">
        <v>10563.0</v>
      </c>
      <c r="F688" s="19">
        <v>0.999810695693327</v>
      </c>
      <c r="G688" s="15">
        <v>0.0</v>
      </c>
      <c r="H688" s="15">
        <v>0.0</v>
      </c>
      <c r="I688" s="15">
        <v>2.0</v>
      </c>
      <c r="J688" s="15">
        <v>0.0</v>
      </c>
      <c r="K688" s="15">
        <v>0.0</v>
      </c>
      <c r="L688" s="17"/>
      <c r="M688" s="20" t="s">
        <v>2419</v>
      </c>
    </row>
    <row r="689" ht="15.75" customHeight="1">
      <c r="A689" s="14" t="s">
        <v>97</v>
      </c>
      <c r="B689" s="15">
        <v>571.0</v>
      </c>
      <c r="C689" s="17" t="s">
        <v>2079</v>
      </c>
      <c r="D689" s="16" t="s">
        <v>458</v>
      </c>
      <c r="E689" s="15">
        <v>10563.0</v>
      </c>
      <c r="F689" s="19">
        <v>0.999810695693327</v>
      </c>
      <c r="G689" s="15">
        <v>0.0</v>
      </c>
      <c r="H689" s="15">
        <v>0.0</v>
      </c>
      <c r="I689" s="15">
        <v>2.0</v>
      </c>
      <c r="J689" s="15">
        <v>0.0</v>
      </c>
      <c r="K689" s="15">
        <v>0.0</v>
      </c>
      <c r="L689" s="17"/>
      <c r="M689" s="20" t="s">
        <v>2421</v>
      </c>
    </row>
    <row r="690" ht="15.75" customHeight="1">
      <c r="A690" s="14" t="s">
        <v>97</v>
      </c>
      <c r="B690" s="15">
        <v>572.0</v>
      </c>
      <c r="C690" s="17" t="s">
        <v>429</v>
      </c>
      <c r="D690" s="16" t="s">
        <v>68</v>
      </c>
      <c r="E690" s="15">
        <v>10551.0</v>
      </c>
      <c r="F690" s="19">
        <v>0.9986748698532891</v>
      </c>
      <c r="G690" s="15">
        <v>0.0</v>
      </c>
      <c r="H690" s="15">
        <v>0.0</v>
      </c>
      <c r="I690" s="15">
        <v>14.0</v>
      </c>
      <c r="J690" s="15">
        <v>0.0</v>
      </c>
      <c r="K690" s="15">
        <v>2.0</v>
      </c>
      <c r="L690" s="17"/>
      <c r="M690" s="20" t="s">
        <v>2423</v>
      </c>
    </row>
    <row r="691" ht="15.75" customHeight="1">
      <c r="A691" s="14" t="s">
        <v>97</v>
      </c>
      <c r="B691" s="15">
        <v>573.0</v>
      </c>
      <c r="C691" s="17" t="s">
        <v>1842</v>
      </c>
      <c r="D691" s="16" t="s">
        <v>68</v>
      </c>
      <c r="E691" s="15">
        <v>10551.0</v>
      </c>
      <c r="F691" s="19">
        <v>0.9986748698532891</v>
      </c>
      <c r="G691" s="15">
        <v>11.0</v>
      </c>
      <c r="H691" s="15">
        <v>0.0</v>
      </c>
      <c r="I691" s="15">
        <v>3.0</v>
      </c>
      <c r="J691" s="15">
        <v>0.0</v>
      </c>
      <c r="K691" s="15">
        <v>0.0</v>
      </c>
      <c r="L691" s="17"/>
      <c r="M691" s="20" t="s">
        <v>1613</v>
      </c>
    </row>
    <row r="692" ht="15.75" customHeight="1">
      <c r="A692" s="14" t="s">
        <v>97</v>
      </c>
      <c r="B692" s="15">
        <v>574.0</v>
      </c>
      <c r="C692" s="17" t="s">
        <v>2100</v>
      </c>
      <c r="D692" s="16" t="s">
        <v>68</v>
      </c>
      <c r="E692" s="15">
        <v>10563.0</v>
      </c>
      <c r="F692" s="19">
        <v>0.999810695693327</v>
      </c>
      <c r="G692" s="15">
        <v>0.0</v>
      </c>
      <c r="H692" s="15">
        <v>0.0</v>
      </c>
      <c r="I692" s="15">
        <v>2.0</v>
      </c>
      <c r="J692" s="15">
        <v>0.0</v>
      </c>
      <c r="K692" s="15">
        <v>0.0</v>
      </c>
      <c r="L692" s="17"/>
      <c r="M692" s="20" t="s">
        <v>2425</v>
      </c>
    </row>
    <row r="693" ht="15.75" customHeight="1">
      <c r="A693" s="14" t="s">
        <v>97</v>
      </c>
      <c r="B693" s="15">
        <v>575.0</v>
      </c>
      <c r="C693" s="17" t="s">
        <v>2102</v>
      </c>
      <c r="D693" s="16" t="s">
        <v>138</v>
      </c>
      <c r="E693" s="15">
        <v>10551.0</v>
      </c>
      <c r="F693" s="19">
        <v>0.9986748698532891</v>
      </c>
      <c r="G693" s="15">
        <v>0.0</v>
      </c>
      <c r="H693" s="15">
        <v>0.0</v>
      </c>
      <c r="I693" s="15">
        <v>3.0</v>
      </c>
      <c r="J693" s="15">
        <v>0.0</v>
      </c>
      <c r="K693" s="15">
        <v>0.0</v>
      </c>
      <c r="L693" s="17"/>
      <c r="M693" s="20" t="s">
        <v>1884</v>
      </c>
    </row>
    <row r="694" ht="15.75" customHeight="1">
      <c r="A694" s="14" t="s">
        <v>97</v>
      </c>
      <c r="B694" s="15">
        <v>576.0</v>
      </c>
      <c r="C694" s="17" t="s">
        <v>2103</v>
      </c>
      <c r="D694" s="16" t="s">
        <v>357</v>
      </c>
      <c r="E694" s="15">
        <v>10551.0</v>
      </c>
      <c r="F694" s="19">
        <v>0.9986748698532891</v>
      </c>
      <c r="G694" s="15">
        <v>0.0</v>
      </c>
      <c r="H694" s="15">
        <v>0.0</v>
      </c>
      <c r="I694" s="15">
        <v>2.0</v>
      </c>
      <c r="J694" s="15">
        <v>0.0</v>
      </c>
      <c r="K694" s="15">
        <v>0.0</v>
      </c>
      <c r="L694" s="17"/>
      <c r="M694" s="20" t="s">
        <v>930</v>
      </c>
    </row>
    <row r="695" ht="15.75" customHeight="1">
      <c r="A695" s="14" t="s">
        <v>97</v>
      </c>
      <c r="B695" s="15">
        <v>577.0</v>
      </c>
      <c r="C695" s="17" t="s">
        <v>2112</v>
      </c>
      <c r="D695" s="16" t="s">
        <v>357</v>
      </c>
      <c r="E695" s="15">
        <v>10551.0</v>
      </c>
      <c r="F695" s="19">
        <v>0.9986748698532891</v>
      </c>
      <c r="G695" s="15">
        <v>0.0</v>
      </c>
      <c r="H695" s="15">
        <v>0.0</v>
      </c>
      <c r="I695" s="15">
        <v>1.0</v>
      </c>
      <c r="J695" s="15">
        <v>0.0</v>
      </c>
      <c r="K695" s="15">
        <v>0.0</v>
      </c>
      <c r="L695" s="17"/>
      <c r="M695" s="20" t="s">
        <v>75</v>
      </c>
    </row>
    <row r="696" ht="15.75" customHeight="1">
      <c r="A696" s="14" t="s">
        <v>97</v>
      </c>
      <c r="B696" s="15">
        <v>578.0</v>
      </c>
      <c r="C696" s="17" t="s">
        <v>2133</v>
      </c>
      <c r="D696" s="16" t="s">
        <v>68</v>
      </c>
      <c r="E696" s="15">
        <v>10555.0</v>
      </c>
      <c r="F696" s="19">
        <v>0.9990534784666352</v>
      </c>
      <c r="G696" s="15">
        <v>0.0</v>
      </c>
      <c r="H696" s="15">
        <v>0.0</v>
      </c>
      <c r="I696" s="15">
        <v>3.0</v>
      </c>
      <c r="J696" s="15">
        <v>0.0</v>
      </c>
      <c r="K696" s="15">
        <v>0.0</v>
      </c>
      <c r="L696" s="17"/>
      <c r="M696" s="20" t="s">
        <v>2407</v>
      </c>
    </row>
    <row r="697" ht="15.75" customHeight="1">
      <c r="A697" s="14" t="s">
        <v>97</v>
      </c>
      <c r="B697" s="15">
        <v>579.0</v>
      </c>
      <c r="C697" s="17" t="s">
        <v>1655</v>
      </c>
      <c r="D697" s="16" t="s">
        <v>68</v>
      </c>
      <c r="E697" s="15">
        <v>10552.0</v>
      </c>
      <c r="F697" s="19">
        <v>0.9987695220066256</v>
      </c>
      <c r="G697" s="15">
        <v>0.0</v>
      </c>
      <c r="H697" s="15">
        <v>0.0</v>
      </c>
      <c r="I697" s="15">
        <v>13.0</v>
      </c>
      <c r="J697" s="15">
        <v>0.0</v>
      </c>
      <c r="K697" s="15">
        <v>0.0</v>
      </c>
      <c r="L697" s="17"/>
      <c r="M697" s="20" t="s">
        <v>2426</v>
      </c>
    </row>
    <row r="698" ht="15.75" customHeight="1">
      <c r="A698" s="14" t="s">
        <v>97</v>
      </c>
      <c r="B698" s="15">
        <v>580.0</v>
      </c>
      <c r="C698" s="17" t="s">
        <v>1840</v>
      </c>
      <c r="D698" s="16" t="s">
        <v>68</v>
      </c>
      <c r="E698" s="15">
        <v>10552.0</v>
      </c>
      <c r="F698" s="19">
        <v>0.9987695220066256</v>
      </c>
      <c r="G698" s="15">
        <v>9.0</v>
      </c>
      <c r="H698" s="15">
        <v>0.0</v>
      </c>
      <c r="I698" s="15">
        <v>2.0</v>
      </c>
      <c r="J698" s="15">
        <v>0.0</v>
      </c>
      <c r="K698" s="15">
        <v>0.0</v>
      </c>
      <c r="L698" s="17"/>
      <c r="M698" s="20" t="s">
        <v>2180</v>
      </c>
    </row>
    <row r="699" ht="15.75" customHeight="1">
      <c r="A699" s="14" t="s">
        <v>97</v>
      </c>
      <c r="B699" s="15">
        <v>581.0</v>
      </c>
      <c r="C699" s="17" t="s">
        <v>2117</v>
      </c>
      <c r="D699" s="16" t="s">
        <v>68</v>
      </c>
      <c r="E699" s="15">
        <v>10552.0</v>
      </c>
      <c r="F699" s="19">
        <v>0.9987695220066256</v>
      </c>
      <c r="G699" s="15">
        <v>0.0</v>
      </c>
      <c r="H699" s="15">
        <v>0.0</v>
      </c>
      <c r="I699" s="15">
        <v>3.0</v>
      </c>
      <c r="J699" s="15">
        <v>0.0</v>
      </c>
      <c r="K699" s="15">
        <v>0.0</v>
      </c>
      <c r="L699" s="17"/>
      <c r="M699" s="20" t="s">
        <v>1148</v>
      </c>
    </row>
    <row r="700" ht="15.75" customHeight="1">
      <c r="A700" s="14" t="s">
        <v>97</v>
      </c>
      <c r="B700" s="15">
        <v>582.0</v>
      </c>
      <c r="C700" s="17" t="s">
        <v>2119</v>
      </c>
      <c r="D700" s="16" t="s">
        <v>68</v>
      </c>
      <c r="E700" s="15">
        <v>10558.0</v>
      </c>
      <c r="F700" s="19">
        <v>0.9993374349266446</v>
      </c>
      <c r="G700" s="15">
        <v>0.0</v>
      </c>
      <c r="H700" s="15">
        <v>0.0</v>
      </c>
      <c r="I700" s="15">
        <v>1.0</v>
      </c>
      <c r="J700" s="15">
        <v>0.0</v>
      </c>
      <c r="K700" s="15">
        <v>0.0</v>
      </c>
      <c r="L700" s="17"/>
      <c r="M700" s="20" t="s">
        <v>2186</v>
      </c>
    </row>
    <row r="701" ht="15.75" customHeight="1">
      <c r="A701" s="14" t="s">
        <v>97</v>
      </c>
      <c r="B701" s="15">
        <v>583.0</v>
      </c>
      <c r="C701" s="17" t="s">
        <v>1659</v>
      </c>
      <c r="D701" s="16" t="s">
        <v>68</v>
      </c>
      <c r="E701" s="15">
        <v>10564.0</v>
      </c>
      <c r="F701" s="19">
        <v>0.9999053478466635</v>
      </c>
      <c r="G701" s="15">
        <v>0.0</v>
      </c>
      <c r="H701" s="15">
        <v>0.0</v>
      </c>
      <c r="I701" s="15">
        <v>1.0</v>
      </c>
      <c r="J701" s="15">
        <v>0.0</v>
      </c>
      <c r="K701" s="15">
        <v>0.0</v>
      </c>
      <c r="L701" s="17"/>
      <c r="M701" s="20" t="s">
        <v>2428</v>
      </c>
    </row>
    <row r="702" ht="15.75" customHeight="1">
      <c r="A702" s="14" t="s">
        <v>97</v>
      </c>
      <c r="B702" s="15">
        <v>584.0</v>
      </c>
      <c r="C702" s="17" t="s">
        <v>2125</v>
      </c>
      <c r="D702" s="16" t="s">
        <v>68</v>
      </c>
      <c r="E702" s="15">
        <v>10564.0</v>
      </c>
      <c r="F702" s="19">
        <v>0.9999053478466635</v>
      </c>
      <c r="G702" s="15">
        <v>0.0</v>
      </c>
      <c r="H702" s="15">
        <v>0.0</v>
      </c>
      <c r="I702" s="15">
        <v>1.0</v>
      </c>
      <c r="J702" s="15">
        <v>0.0</v>
      </c>
      <c r="K702" s="15">
        <v>0.0</v>
      </c>
      <c r="L702" s="17"/>
      <c r="M702" s="20" t="s">
        <v>1747</v>
      </c>
    </row>
    <row r="703" ht="15.75" customHeight="1">
      <c r="A703" s="14" t="s">
        <v>97</v>
      </c>
      <c r="B703" s="15">
        <v>585.0</v>
      </c>
      <c r="C703" s="17" t="s">
        <v>2123</v>
      </c>
      <c r="D703" s="16" t="s">
        <v>68</v>
      </c>
      <c r="E703" s="15">
        <v>10564.0</v>
      </c>
      <c r="F703" s="19">
        <v>0.9999053478466635</v>
      </c>
      <c r="G703" s="15">
        <v>0.0</v>
      </c>
      <c r="H703" s="15">
        <v>0.0</v>
      </c>
      <c r="I703" s="15">
        <v>1.0</v>
      </c>
      <c r="J703" s="15">
        <v>0.0</v>
      </c>
      <c r="K703" s="15">
        <v>0.0</v>
      </c>
      <c r="L703" s="17"/>
      <c r="M703" s="20" t="s">
        <v>1214</v>
      </c>
    </row>
    <row r="704" ht="15.75" customHeight="1">
      <c r="A704" s="14" t="s">
        <v>97</v>
      </c>
      <c r="B704" s="15">
        <v>586.0</v>
      </c>
      <c r="C704" s="17" t="s">
        <v>1665</v>
      </c>
      <c r="D704" s="16" t="s">
        <v>68</v>
      </c>
      <c r="E704" s="15">
        <v>10564.0</v>
      </c>
      <c r="F704" s="19">
        <v>0.9999053478466635</v>
      </c>
      <c r="G704" s="15">
        <v>0.0</v>
      </c>
      <c r="H704" s="15">
        <v>0.0</v>
      </c>
      <c r="I704" s="15">
        <v>1.0</v>
      </c>
      <c r="J704" s="15">
        <v>0.0</v>
      </c>
      <c r="K704" s="15">
        <v>0.0</v>
      </c>
      <c r="L704" s="17"/>
      <c r="M704" s="20" t="s">
        <v>2430</v>
      </c>
    </row>
    <row r="705" ht="15.75" customHeight="1">
      <c r="A705" s="14" t="s">
        <v>97</v>
      </c>
      <c r="B705" s="15">
        <v>587.0</v>
      </c>
      <c r="C705" s="17" t="s">
        <v>2130</v>
      </c>
      <c r="D705" s="16" t="s">
        <v>68</v>
      </c>
      <c r="E705" s="15">
        <v>10564.0</v>
      </c>
      <c r="F705" s="19">
        <v>0.9999053478466635</v>
      </c>
      <c r="G705" s="15">
        <v>0.0</v>
      </c>
      <c r="H705" s="15">
        <v>0.0</v>
      </c>
      <c r="I705" s="15">
        <v>1.0</v>
      </c>
      <c r="J705" s="15">
        <v>0.0</v>
      </c>
      <c r="K705" s="15">
        <v>0.0</v>
      </c>
      <c r="L705" s="17"/>
      <c r="M705" s="20" t="s">
        <v>1747</v>
      </c>
    </row>
    <row r="706" ht="15.75" customHeight="1">
      <c r="A706" s="14" t="s">
        <v>97</v>
      </c>
      <c r="B706" s="15">
        <v>588.0</v>
      </c>
      <c r="C706" s="17" t="s">
        <v>2127</v>
      </c>
      <c r="D706" s="16" t="s">
        <v>68</v>
      </c>
      <c r="E706" s="15">
        <v>10564.0</v>
      </c>
      <c r="F706" s="19">
        <v>0.9999053478466635</v>
      </c>
      <c r="G706" s="15">
        <v>0.0</v>
      </c>
      <c r="H706" s="15">
        <v>0.0</v>
      </c>
      <c r="I706" s="15">
        <v>1.0</v>
      </c>
      <c r="J706" s="15">
        <v>0.0</v>
      </c>
      <c r="K706" s="15">
        <v>0.0</v>
      </c>
      <c r="L706" s="17"/>
      <c r="M706" s="20" t="s">
        <v>1214</v>
      </c>
    </row>
    <row r="707" ht="15.75" customHeight="1">
      <c r="A707" s="14" t="s">
        <v>97</v>
      </c>
      <c r="B707" s="15">
        <v>589.0</v>
      </c>
      <c r="C707" s="17" t="s">
        <v>2105</v>
      </c>
      <c r="D707" s="16" t="s">
        <v>458</v>
      </c>
      <c r="E707" s="15">
        <v>10554.0</v>
      </c>
      <c r="F707" s="19">
        <v>0.9989588263132986</v>
      </c>
      <c r="G707" s="15">
        <v>0.0</v>
      </c>
      <c r="H707" s="15">
        <v>0.0</v>
      </c>
      <c r="I707" s="15">
        <v>11.0</v>
      </c>
      <c r="J707" s="15">
        <v>0.0</v>
      </c>
      <c r="K707" s="15">
        <v>0.0</v>
      </c>
      <c r="L707" s="17"/>
      <c r="M707" s="20" t="s">
        <v>2432</v>
      </c>
    </row>
    <row r="708" ht="15.75" customHeight="1">
      <c r="A708" s="14" t="s">
        <v>97</v>
      </c>
      <c r="B708" s="15">
        <v>590.0</v>
      </c>
      <c r="C708" s="17" t="s">
        <v>2108</v>
      </c>
      <c r="D708" s="16" t="s">
        <v>458</v>
      </c>
      <c r="E708" s="15">
        <v>10563.0</v>
      </c>
      <c r="F708" s="19">
        <v>0.999810695693327</v>
      </c>
      <c r="G708" s="15">
        <v>0.0</v>
      </c>
      <c r="H708" s="15">
        <v>0.0</v>
      </c>
      <c r="I708" s="15">
        <v>2.0</v>
      </c>
      <c r="J708" s="15">
        <v>0.0</v>
      </c>
      <c r="K708" s="15">
        <v>0.0</v>
      </c>
      <c r="L708" s="17"/>
      <c r="M708" s="20" t="s">
        <v>2434</v>
      </c>
    </row>
    <row r="709" ht="15.75" customHeight="1">
      <c r="A709" s="14" t="s">
        <v>97</v>
      </c>
      <c r="B709" s="15">
        <v>591.0</v>
      </c>
      <c r="C709" s="17" t="s">
        <v>2109</v>
      </c>
      <c r="D709" s="16" t="s">
        <v>458</v>
      </c>
      <c r="E709" s="15">
        <v>10563.0</v>
      </c>
      <c r="F709" s="19">
        <v>0.999810695693327</v>
      </c>
      <c r="G709" s="15">
        <v>0.0</v>
      </c>
      <c r="H709" s="15">
        <v>0.0</v>
      </c>
      <c r="I709" s="15">
        <v>2.0</v>
      </c>
      <c r="J709" s="15">
        <v>0.0</v>
      </c>
      <c r="K709" s="15">
        <v>0.0</v>
      </c>
      <c r="L709" s="17"/>
      <c r="M709" s="20" t="s">
        <v>2436</v>
      </c>
    </row>
    <row r="710" ht="15.75" customHeight="1">
      <c r="A710" s="14" t="s">
        <v>97</v>
      </c>
      <c r="B710" s="15">
        <v>592.0</v>
      </c>
      <c r="C710" s="17" t="s">
        <v>2111</v>
      </c>
      <c r="D710" s="16" t="s">
        <v>458</v>
      </c>
      <c r="E710" s="15">
        <v>10564.0</v>
      </c>
      <c r="F710" s="19">
        <v>0.9999053478466635</v>
      </c>
      <c r="G710" s="15">
        <v>0.0</v>
      </c>
      <c r="H710" s="15">
        <v>0.0</v>
      </c>
      <c r="I710" s="15">
        <v>1.0</v>
      </c>
      <c r="J710" s="15">
        <v>0.0</v>
      </c>
      <c r="K710" s="15">
        <v>0.0</v>
      </c>
      <c r="L710" s="17"/>
      <c r="M710" s="20" t="s">
        <v>2438</v>
      </c>
    </row>
    <row r="711" ht="15.75" customHeight="1">
      <c r="A711" s="14" t="s">
        <v>97</v>
      </c>
      <c r="B711" s="15">
        <v>593.0</v>
      </c>
      <c r="C711" s="17" t="s">
        <v>2144</v>
      </c>
      <c r="D711" s="16" t="s">
        <v>68</v>
      </c>
      <c r="E711" s="15">
        <v>10563.0</v>
      </c>
      <c r="F711" s="19">
        <v>0.999810695693327</v>
      </c>
      <c r="G711" s="15">
        <v>0.0</v>
      </c>
      <c r="H711" s="15">
        <v>0.0</v>
      </c>
      <c r="I711" s="15">
        <v>2.0</v>
      </c>
      <c r="J711" s="15">
        <v>0.0</v>
      </c>
      <c r="K711" s="15">
        <v>0.0</v>
      </c>
      <c r="L711" s="17"/>
      <c r="M711" s="20" t="s">
        <v>2440</v>
      </c>
    </row>
    <row r="712" ht="15.75" customHeight="1">
      <c r="A712" s="14" t="s">
        <v>97</v>
      </c>
      <c r="B712" s="15">
        <v>594.0</v>
      </c>
      <c r="C712" s="17" t="s">
        <v>1845</v>
      </c>
      <c r="D712" s="16" t="s">
        <v>68</v>
      </c>
      <c r="E712" s="15">
        <v>10563.0</v>
      </c>
      <c r="F712" s="19">
        <v>0.999810695693327</v>
      </c>
      <c r="G712" s="15">
        <v>1.0</v>
      </c>
      <c r="H712" s="15">
        <v>0.0</v>
      </c>
      <c r="I712" s="15">
        <v>2.0</v>
      </c>
      <c r="J712" s="15">
        <v>0.0</v>
      </c>
      <c r="K712" s="15">
        <v>0.0</v>
      </c>
      <c r="L712" s="17"/>
      <c r="M712" s="20" t="s">
        <v>2442</v>
      </c>
    </row>
    <row r="713" ht="15.75" customHeight="1">
      <c r="A713" s="14" t="s">
        <v>97</v>
      </c>
      <c r="B713" s="15">
        <v>595.0</v>
      </c>
      <c r="C713" s="17" t="s">
        <v>2134</v>
      </c>
      <c r="D713" s="16" t="s">
        <v>138</v>
      </c>
      <c r="E713" s="15">
        <v>10563.0</v>
      </c>
      <c r="F713" s="19">
        <v>0.999810695693327</v>
      </c>
      <c r="G713" s="15">
        <v>0.0</v>
      </c>
      <c r="H713" s="15">
        <v>0.0</v>
      </c>
      <c r="I713" s="15">
        <v>2.0</v>
      </c>
      <c r="J713" s="15">
        <v>0.0</v>
      </c>
      <c r="K713" s="15">
        <v>0.0</v>
      </c>
      <c r="L713" s="17"/>
      <c r="M713" s="20" t="s">
        <v>2443</v>
      </c>
    </row>
    <row r="714" ht="15.75" customHeight="1">
      <c r="A714" s="14" t="s">
        <v>97</v>
      </c>
      <c r="B714" s="15">
        <v>596.0</v>
      </c>
      <c r="C714" s="17" t="s">
        <v>2136</v>
      </c>
      <c r="D714" s="16" t="s">
        <v>357</v>
      </c>
      <c r="E714" s="15">
        <v>10563.0</v>
      </c>
      <c r="F714" s="19">
        <v>0.999810695693327</v>
      </c>
      <c r="G714" s="15">
        <v>0.0</v>
      </c>
      <c r="H714" s="15">
        <v>0.0</v>
      </c>
      <c r="I714" s="15">
        <v>1.0</v>
      </c>
      <c r="J714" s="15">
        <v>0.0</v>
      </c>
      <c r="K714" s="15">
        <v>0.0</v>
      </c>
      <c r="L714" s="17"/>
      <c r="M714" s="20" t="s">
        <v>75</v>
      </c>
    </row>
    <row r="715" ht="15.75" customHeight="1">
      <c r="A715" s="14" t="s">
        <v>97</v>
      </c>
      <c r="B715" s="15">
        <v>597.0</v>
      </c>
      <c r="C715" s="17" t="s">
        <v>2141</v>
      </c>
      <c r="D715" s="16" t="s">
        <v>357</v>
      </c>
      <c r="E715" s="15">
        <v>10563.0</v>
      </c>
      <c r="F715" s="19">
        <v>0.999810695693327</v>
      </c>
      <c r="G715" s="15">
        <v>0.0</v>
      </c>
      <c r="H715" s="15">
        <v>0.0</v>
      </c>
      <c r="I715" s="15">
        <v>1.0</v>
      </c>
      <c r="J715" s="15">
        <v>0.0</v>
      </c>
      <c r="K715" s="15">
        <v>0.0</v>
      </c>
      <c r="L715" s="17"/>
      <c r="M715" s="20" t="s">
        <v>75</v>
      </c>
    </row>
    <row r="716" ht="15.75" customHeight="1">
      <c r="A716" s="14" t="s">
        <v>97</v>
      </c>
      <c r="B716" s="15">
        <v>598.0</v>
      </c>
      <c r="C716" s="17" t="s">
        <v>2161</v>
      </c>
      <c r="D716" s="16" t="s">
        <v>68</v>
      </c>
      <c r="E716" s="15">
        <v>10563.0</v>
      </c>
      <c r="F716" s="19">
        <v>0.999810695693327</v>
      </c>
      <c r="G716" s="15">
        <v>0.0</v>
      </c>
      <c r="H716" s="15">
        <v>0.0</v>
      </c>
      <c r="I716" s="15">
        <v>1.0</v>
      </c>
      <c r="J716" s="15">
        <v>0.0</v>
      </c>
      <c r="K716" s="15">
        <v>0.0</v>
      </c>
      <c r="L716" s="17"/>
      <c r="M716" s="20" t="s">
        <v>2186</v>
      </c>
    </row>
    <row r="717" ht="15.75" customHeight="1">
      <c r="A717" s="14" t="s">
        <v>97</v>
      </c>
      <c r="B717" s="15">
        <v>599.0</v>
      </c>
      <c r="C717" s="17" t="s">
        <v>2147</v>
      </c>
      <c r="D717" s="16" t="s">
        <v>68</v>
      </c>
      <c r="E717" s="15">
        <v>10563.0</v>
      </c>
      <c r="F717" s="19">
        <v>0.999810695693327</v>
      </c>
      <c r="G717" s="15">
        <v>0.0</v>
      </c>
      <c r="H717" s="15">
        <v>0.0</v>
      </c>
      <c r="I717" s="15">
        <v>2.0</v>
      </c>
      <c r="J717" s="15">
        <v>0.0</v>
      </c>
      <c r="K717" s="15">
        <v>0.0</v>
      </c>
      <c r="L717" s="17"/>
      <c r="M717" s="20" t="s">
        <v>2444</v>
      </c>
    </row>
    <row r="718" ht="15.75" customHeight="1">
      <c r="A718" s="14" t="s">
        <v>97</v>
      </c>
      <c r="B718" s="15">
        <v>600.0</v>
      </c>
      <c r="C718" s="17" t="s">
        <v>1844</v>
      </c>
      <c r="D718" s="16" t="s">
        <v>68</v>
      </c>
      <c r="E718" s="15">
        <v>10563.0</v>
      </c>
      <c r="F718" s="19">
        <v>0.999810695693327</v>
      </c>
      <c r="G718" s="15">
        <v>1.0</v>
      </c>
      <c r="H718" s="15">
        <v>0.0</v>
      </c>
      <c r="I718" s="15">
        <v>2.0</v>
      </c>
      <c r="J718" s="15">
        <v>0.0</v>
      </c>
      <c r="K718" s="15">
        <v>0.0</v>
      </c>
      <c r="L718" s="17"/>
      <c r="M718" s="20" t="s">
        <v>1733</v>
      </c>
    </row>
    <row r="719" ht="15.75" customHeight="1">
      <c r="A719" s="14" t="s">
        <v>97</v>
      </c>
      <c r="B719" s="15">
        <v>601.0</v>
      </c>
      <c r="C719" s="17" t="s">
        <v>2150</v>
      </c>
      <c r="D719" s="16" t="s">
        <v>68</v>
      </c>
      <c r="E719" s="15">
        <v>10563.0</v>
      </c>
      <c r="F719" s="19">
        <v>0.999810695693327</v>
      </c>
      <c r="G719" s="15">
        <v>0.0</v>
      </c>
      <c r="H719" s="15">
        <v>0.0</v>
      </c>
      <c r="I719" s="15">
        <v>1.0</v>
      </c>
      <c r="J719" s="15">
        <v>0.0</v>
      </c>
      <c r="K719" s="15">
        <v>0.0</v>
      </c>
      <c r="L719" s="17"/>
      <c r="M719" s="20" t="s">
        <v>1214</v>
      </c>
    </row>
    <row r="720" ht="15.75" customHeight="1">
      <c r="A720" s="14" t="s">
        <v>97</v>
      </c>
      <c r="B720" s="15">
        <v>602.0</v>
      </c>
      <c r="C720" s="17" t="s">
        <v>2152</v>
      </c>
      <c r="D720" s="16" t="s">
        <v>68</v>
      </c>
      <c r="E720" s="15">
        <v>10564.0</v>
      </c>
      <c r="F720" s="19">
        <v>0.9999053478466635</v>
      </c>
      <c r="G720" s="15">
        <v>0.0</v>
      </c>
      <c r="H720" s="15">
        <v>0.0</v>
      </c>
      <c r="I720" s="15">
        <v>1.0</v>
      </c>
      <c r="J720" s="15">
        <v>0.0</v>
      </c>
      <c r="K720" s="15">
        <v>0.0</v>
      </c>
      <c r="L720" s="17"/>
      <c r="M720" s="20" t="s">
        <v>2186</v>
      </c>
    </row>
    <row r="721" ht="15.75" customHeight="1">
      <c r="A721" s="14" t="s">
        <v>97</v>
      </c>
      <c r="B721" s="15">
        <v>603.0</v>
      </c>
      <c r="C721" s="17" t="s">
        <v>2155</v>
      </c>
      <c r="D721" s="16" t="s">
        <v>68</v>
      </c>
      <c r="E721" s="15">
        <v>10564.0</v>
      </c>
      <c r="F721" s="19">
        <v>0.9999053478466635</v>
      </c>
      <c r="G721" s="15">
        <v>0.0</v>
      </c>
      <c r="H721" s="15">
        <v>0.0</v>
      </c>
      <c r="I721" s="15">
        <v>1.0</v>
      </c>
      <c r="J721" s="15">
        <v>0.0</v>
      </c>
      <c r="K721" s="15">
        <v>0.0</v>
      </c>
      <c r="L721" s="17"/>
      <c r="M721" s="20" t="s">
        <v>2446</v>
      </c>
    </row>
    <row r="722" ht="15.75" customHeight="1">
      <c r="A722" s="14" t="s">
        <v>97</v>
      </c>
      <c r="B722" s="15">
        <v>604.0</v>
      </c>
      <c r="C722" s="17" t="s">
        <v>2158</v>
      </c>
      <c r="D722" s="16" t="s">
        <v>68</v>
      </c>
      <c r="E722" s="15">
        <v>10564.0</v>
      </c>
      <c r="F722" s="19">
        <v>0.9999053478466635</v>
      </c>
      <c r="G722" s="15">
        <v>0.0</v>
      </c>
      <c r="H722" s="15">
        <v>0.0</v>
      </c>
      <c r="I722" s="15">
        <v>1.0</v>
      </c>
      <c r="J722" s="15">
        <v>0.0</v>
      </c>
      <c r="K722" s="15">
        <v>0.0</v>
      </c>
      <c r="L722" s="17"/>
      <c r="M722" s="20" t="s">
        <v>1747</v>
      </c>
    </row>
    <row r="723" ht="15.75" customHeight="1">
      <c r="A723" s="14" t="s">
        <v>97</v>
      </c>
      <c r="B723" s="15">
        <v>605.0</v>
      </c>
      <c r="C723" s="17" t="s">
        <v>2157</v>
      </c>
      <c r="D723" s="16" t="s">
        <v>68</v>
      </c>
      <c r="E723" s="15">
        <v>10564.0</v>
      </c>
      <c r="F723" s="19">
        <v>0.9999053478466635</v>
      </c>
      <c r="G723" s="15">
        <v>0.0</v>
      </c>
      <c r="H723" s="15">
        <v>0.0</v>
      </c>
      <c r="I723" s="15">
        <v>1.0</v>
      </c>
      <c r="J723" s="15">
        <v>0.0</v>
      </c>
      <c r="K723" s="15">
        <v>0.0</v>
      </c>
      <c r="L723" s="17"/>
      <c r="M723" s="20" t="s">
        <v>1214</v>
      </c>
    </row>
    <row r="724" ht="15.75" customHeight="1">
      <c r="A724" s="14" t="s">
        <v>97</v>
      </c>
      <c r="B724" s="15">
        <v>606.0</v>
      </c>
      <c r="C724" s="17" t="s">
        <v>2137</v>
      </c>
      <c r="D724" s="16" t="s">
        <v>458</v>
      </c>
      <c r="E724" s="15">
        <v>10563.0</v>
      </c>
      <c r="F724" s="19">
        <v>0.999810695693327</v>
      </c>
      <c r="G724" s="15">
        <v>0.0</v>
      </c>
      <c r="H724" s="15">
        <v>0.0</v>
      </c>
      <c r="I724" s="15">
        <v>2.0</v>
      </c>
      <c r="J724" s="15">
        <v>0.0</v>
      </c>
      <c r="K724" s="15">
        <v>0.0</v>
      </c>
      <c r="L724" s="17"/>
      <c r="M724" s="20" t="s">
        <v>2448</v>
      </c>
    </row>
    <row r="725" ht="15.75" customHeight="1">
      <c r="A725" s="14" t="s">
        <v>97</v>
      </c>
      <c r="B725" s="15">
        <v>607.0</v>
      </c>
      <c r="C725" s="17" t="s">
        <v>2140</v>
      </c>
      <c r="D725" s="16" t="s">
        <v>458</v>
      </c>
      <c r="E725" s="15">
        <v>10564.0</v>
      </c>
      <c r="F725" s="19">
        <v>0.9999053478466635</v>
      </c>
      <c r="G725" s="15">
        <v>0.0</v>
      </c>
      <c r="H725" s="15">
        <v>0.0</v>
      </c>
      <c r="I725" s="15">
        <v>1.0</v>
      </c>
      <c r="J725" s="15">
        <v>0.0</v>
      </c>
      <c r="K725" s="15">
        <v>0.0</v>
      </c>
      <c r="L725" s="17"/>
      <c r="M725" s="20" t="s">
        <v>2450</v>
      </c>
    </row>
    <row r="726" ht="15.75" customHeight="1">
      <c r="A726" s="14" t="s">
        <v>97</v>
      </c>
      <c r="B726" s="15">
        <v>608.0</v>
      </c>
      <c r="C726" s="17" t="s">
        <v>2169</v>
      </c>
      <c r="D726" s="16" t="s">
        <v>68</v>
      </c>
      <c r="E726" s="15">
        <v>10563.0</v>
      </c>
      <c r="F726" s="19">
        <v>0.999810695693327</v>
      </c>
      <c r="G726" s="15">
        <v>0.0</v>
      </c>
      <c r="H726" s="15">
        <v>0.0</v>
      </c>
      <c r="I726" s="15">
        <v>2.0</v>
      </c>
      <c r="J726" s="15">
        <v>0.0</v>
      </c>
      <c r="K726" s="15">
        <v>0.0</v>
      </c>
      <c r="L726" s="17"/>
      <c r="M726" s="20" t="s">
        <v>2452</v>
      </c>
    </row>
    <row r="727" ht="15.75" customHeight="1">
      <c r="A727" s="14" t="s">
        <v>97</v>
      </c>
      <c r="B727" s="15">
        <v>609.0</v>
      </c>
      <c r="C727" s="17" t="s">
        <v>1848</v>
      </c>
      <c r="D727" s="16" t="s">
        <v>68</v>
      </c>
      <c r="E727" s="15">
        <v>10563.0</v>
      </c>
      <c r="F727" s="19">
        <v>0.999810695693327</v>
      </c>
      <c r="G727" s="15">
        <v>1.0</v>
      </c>
      <c r="H727" s="15">
        <v>0.0</v>
      </c>
      <c r="I727" s="15">
        <v>2.0</v>
      </c>
      <c r="J727" s="15">
        <v>0.0</v>
      </c>
      <c r="K727" s="15">
        <v>0.0</v>
      </c>
      <c r="L727" s="17"/>
      <c r="M727" s="20" t="s">
        <v>2442</v>
      </c>
    </row>
    <row r="728" ht="15.75" customHeight="1">
      <c r="A728" s="14" t="s">
        <v>97</v>
      </c>
      <c r="B728" s="15">
        <v>610.0</v>
      </c>
      <c r="C728" s="17" t="s">
        <v>2162</v>
      </c>
      <c r="D728" s="16" t="s">
        <v>138</v>
      </c>
      <c r="E728" s="15">
        <v>10563.0</v>
      </c>
      <c r="F728" s="19">
        <v>0.999810695693327</v>
      </c>
      <c r="G728" s="15">
        <v>0.0</v>
      </c>
      <c r="H728" s="15">
        <v>0.0</v>
      </c>
      <c r="I728" s="15">
        <v>2.0</v>
      </c>
      <c r="J728" s="15">
        <v>0.0</v>
      </c>
      <c r="K728" s="15">
        <v>0.0</v>
      </c>
      <c r="L728" s="17"/>
      <c r="M728" s="20" t="s">
        <v>2443</v>
      </c>
    </row>
    <row r="729" ht="15.75" customHeight="1">
      <c r="A729" s="14" t="s">
        <v>97</v>
      </c>
      <c r="B729" s="15">
        <v>611.0</v>
      </c>
      <c r="C729" s="17" t="s">
        <v>2164</v>
      </c>
      <c r="D729" s="16" t="s">
        <v>357</v>
      </c>
      <c r="E729" s="15">
        <v>10563.0</v>
      </c>
      <c r="F729" s="19">
        <v>0.999810695693327</v>
      </c>
      <c r="G729" s="15">
        <v>0.0</v>
      </c>
      <c r="H729" s="15">
        <v>0.0</v>
      </c>
      <c r="I729" s="15">
        <v>1.0</v>
      </c>
      <c r="J729" s="15">
        <v>0.0</v>
      </c>
      <c r="K729" s="15">
        <v>0.0</v>
      </c>
      <c r="L729" s="17"/>
      <c r="M729" s="20" t="s">
        <v>75</v>
      </c>
    </row>
    <row r="730" ht="15.75" customHeight="1">
      <c r="A730" s="14" t="s">
        <v>97</v>
      </c>
      <c r="B730" s="15">
        <v>612.0</v>
      </c>
      <c r="C730" s="17" t="s">
        <v>2167</v>
      </c>
      <c r="D730" s="16" t="s">
        <v>357</v>
      </c>
      <c r="E730" s="15">
        <v>10563.0</v>
      </c>
      <c r="F730" s="19">
        <v>0.999810695693327</v>
      </c>
      <c r="G730" s="15">
        <v>0.0</v>
      </c>
      <c r="H730" s="15">
        <v>0.0</v>
      </c>
      <c r="I730" s="15">
        <v>1.0</v>
      </c>
      <c r="J730" s="15">
        <v>0.0</v>
      </c>
      <c r="K730" s="15">
        <v>0.0</v>
      </c>
      <c r="L730" s="17"/>
      <c r="M730" s="20" t="s">
        <v>75</v>
      </c>
    </row>
    <row r="731" ht="15.75" customHeight="1">
      <c r="A731" s="14" t="s">
        <v>97</v>
      </c>
      <c r="B731" s="15">
        <v>613.0</v>
      </c>
      <c r="C731" s="17" t="s">
        <v>2179</v>
      </c>
      <c r="D731" s="16" t="s">
        <v>68</v>
      </c>
      <c r="E731" s="15">
        <v>10563.0</v>
      </c>
      <c r="F731" s="19">
        <v>0.999810695693327</v>
      </c>
      <c r="G731" s="15">
        <v>0.0</v>
      </c>
      <c r="H731" s="15">
        <v>0.0</v>
      </c>
      <c r="I731" s="15">
        <v>1.0</v>
      </c>
      <c r="J731" s="15">
        <v>0.0</v>
      </c>
      <c r="K731" s="15">
        <v>0.0</v>
      </c>
      <c r="L731" s="17"/>
      <c r="M731" s="20" t="s">
        <v>2186</v>
      </c>
    </row>
    <row r="732" ht="15.75" customHeight="1">
      <c r="A732" s="14" t="s">
        <v>97</v>
      </c>
      <c r="B732" s="15">
        <v>614.0</v>
      </c>
      <c r="C732" s="17" t="s">
        <v>2172</v>
      </c>
      <c r="D732" s="16" t="s">
        <v>68</v>
      </c>
      <c r="E732" s="15">
        <v>10563.0</v>
      </c>
      <c r="F732" s="19">
        <v>0.999810695693327</v>
      </c>
      <c r="G732" s="15">
        <v>0.0</v>
      </c>
      <c r="H732" s="15">
        <v>0.0</v>
      </c>
      <c r="I732" s="15">
        <v>2.0</v>
      </c>
      <c r="J732" s="15">
        <v>0.0</v>
      </c>
      <c r="K732" s="15">
        <v>0.0</v>
      </c>
      <c r="L732" s="17"/>
      <c r="M732" s="20" t="s">
        <v>2454</v>
      </c>
    </row>
    <row r="733" ht="15.75" customHeight="1">
      <c r="A733" s="14" t="s">
        <v>97</v>
      </c>
      <c r="B733" s="15">
        <v>615.0</v>
      </c>
      <c r="C733" s="17" t="s">
        <v>1847</v>
      </c>
      <c r="D733" s="16" t="s">
        <v>68</v>
      </c>
      <c r="E733" s="15">
        <v>10563.0</v>
      </c>
      <c r="F733" s="19">
        <v>0.999810695693327</v>
      </c>
      <c r="G733" s="15">
        <v>1.0</v>
      </c>
      <c r="H733" s="15">
        <v>0.0</v>
      </c>
      <c r="I733" s="15">
        <v>2.0</v>
      </c>
      <c r="J733" s="15">
        <v>0.0</v>
      </c>
      <c r="K733" s="15">
        <v>0.0</v>
      </c>
      <c r="L733" s="17"/>
      <c r="M733" s="20" t="s">
        <v>1733</v>
      </c>
    </row>
    <row r="734" ht="15.75" customHeight="1">
      <c r="A734" s="14" t="s">
        <v>97</v>
      </c>
      <c r="B734" s="15">
        <v>616.0</v>
      </c>
      <c r="C734" s="17" t="s">
        <v>2173</v>
      </c>
      <c r="D734" s="16" t="s">
        <v>68</v>
      </c>
      <c r="E734" s="15">
        <v>10563.0</v>
      </c>
      <c r="F734" s="19">
        <v>0.999810695693327</v>
      </c>
      <c r="G734" s="15">
        <v>0.0</v>
      </c>
      <c r="H734" s="15">
        <v>0.0</v>
      </c>
      <c r="I734" s="15">
        <v>1.0</v>
      </c>
      <c r="J734" s="15">
        <v>0.0</v>
      </c>
      <c r="K734" s="15">
        <v>0.0</v>
      </c>
      <c r="L734" s="17"/>
      <c r="M734" s="20" t="s">
        <v>1214</v>
      </c>
    </row>
    <row r="735" ht="15.75" customHeight="1">
      <c r="A735" s="14" t="s">
        <v>97</v>
      </c>
      <c r="B735" s="15">
        <v>617.0</v>
      </c>
      <c r="C735" s="17" t="s">
        <v>2175</v>
      </c>
      <c r="D735" s="16" t="s">
        <v>68</v>
      </c>
      <c r="E735" s="15">
        <v>10564.0</v>
      </c>
      <c r="F735" s="19">
        <v>0.9999053478466635</v>
      </c>
      <c r="G735" s="15">
        <v>0.0</v>
      </c>
      <c r="H735" s="15">
        <v>0.0</v>
      </c>
      <c r="I735" s="15">
        <v>1.0</v>
      </c>
      <c r="J735" s="15">
        <v>0.0</v>
      </c>
      <c r="K735" s="15">
        <v>0.0</v>
      </c>
      <c r="L735" s="17"/>
      <c r="M735" s="20" t="s">
        <v>2186</v>
      </c>
    </row>
    <row r="736" ht="15.75" customHeight="1">
      <c r="A736" s="14" t="s">
        <v>97</v>
      </c>
      <c r="B736" s="15">
        <v>618.0</v>
      </c>
      <c r="C736" s="17" t="s">
        <v>2166</v>
      </c>
      <c r="D736" s="16" t="s">
        <v>458</v>
      </c>
      <c r="E736" s="15">
        <v>10564.0</v>
      </c>
      <c r="F736" s="19">
        <v>0.9999053478466635</v>
      </c>
      <c r="G736" s="15">
        <v>0.0</v>
      </c>
      <c r="H736" s="15">
        <v>0.0</v>
      </c>
      <c r="I736" s="15">
        <v>1.0</v>
      </c>
      <c r="J736" s="15">
        <v>0.0</v>
      </c>
      <c r="K736" s="15">
        <v>0.0</v>
      </c>
      <c r="L736" s="17"/>
      <c r="M736" s="20" t="s">
        <v>2456</v>
      </c>
    </row>
    <row r="737" ht="15.75" customHeight="1">
      <c r="A737" s="14" t="s">
        <v>97</v>
      </c>
      <c r="B737" s="15">
        <v>619.0</v>
      </c>
      <c r="C737" s="17" t="s">
        <v>2191</v>
      </c>
      <c r="D737" s="16" t="s">
        <v>68</v>
      </c>
      <c r="E737" s="15">
        <v>10563.0</v>
      </c>
      <c r="F737" s="19">
        <v>0.999810695693327</v>
      </c>
      <c r="G737" s="15">
        <v>0.0</v>
      </c>
      <c r="H737" s="15">
        <v>0.0</v>
      </c>
      <c r="I737" s="15">
        <v>2.0</v>
      </c>
      <c r="J737" s="15">
        <v>0.0</v>
      </c>
      <c r="K737" s="15">
        <v>0.0</v>
      </c>
      <c r="L737" s="17"/>
      <c r="M737" s="20" t="s">
        <v>2458</v>
      </c>
    </row>
    <row r="738" ht="15.75" customHeight="1">
      <c r="A738" s="14" t="s">
        <v>97</v>
      </c>
      <c r="B738" s="15">
        <v>620.0</v>
      </c>
      <c r="C738" s="17" t="s">
        <v>1853</v>
      </c>
      <c r="D738" s="16" t="s">
        <v>68</v>
      </c>
      <c r="E738" s="15">
        <v>10563.0</v>
      </c>
      <c r="F738" s="19">
        <v>0.999810695693327</v>
      </c>
      <c r="G738" s="15">
        <v>1.0</v>
      </c>
      <c r="H738" s="15">
        <v>0.0</v>
      </c>
      <c r="I738" s="15">
        <v>2.0</v>
      </c>
      <c r="J738" s="15">
        <v>0.0</v>
      </c>
      <c r="K738" s="15">
        <v>0.0</v>
      </c>
      <c r="L738" s="17"/>
      <c r="M738" s="20" t="s">
        <v>2442</v>
      </c>
    </row>
    <row r="739" ht="15.75" customHeight="1">
      <c r="A739" s="14" t="s">
        <v>97</v>
      </c>
      <c r="B739" s="15">
        <v>621.0</v>
      </c>
      <c r="C739" s="17" t="s">
        <v>2181</v>
      </c>
      <c r="D739" s="16" t="s">
        <v>138</v>
      </c>
      <c r="E739" s="15">
        <v>10563.0</v>
      </c>
      <c r="F739" s="19">
        <v>0.999810695693327</v>
      </c>
      <c r="G739" s="15">
        <v>0.0</v>
      </c>
      <c r="H739" s="15">
        <v>0.0</v>
      </c>
      <c r="I739" s="15">
        <v>2.0</v>
      </c>
      <c r="J739" s="15">
        <v>0.0</v>
      </c>
      <c r="K739" s="15">
        <v>0.0</v>
      </c>
      <c r="L739" s="17"/>
      <c r="M739" s="20" t="s">
        <v>2443</v>
      </c>
    </row>
    <row r="740" ht="15.75" customHeight="1">
      <c r="A740" s="14" t="s">
        <v>97</v>
      </c>
      <c r="B740" s="15">
        <v>622.0</v>
      </c>
      <c r="C740" s="17" t="s">
        <v>2183</v>
      </c>
      <c r="D740" s="16" t="s">
        <v>357</v>
      </c>
      <c r="E740" s="15">
        <v>10563.0</v>
      </c>
      <c r="F740" s="19">
        <v>0.999810695693327</v>
      </c>
      <c r="G740" s="15">
        <v>0.0</v>
      </c>
      <c r="H740" s="15">
        <v>0.0</v>
      </c>
      <c r="I740" s="15">
        <v>1.0</v>
      </c>
      <c r="J740" s="15">
        <v>0.0</v>
      </c>
      <c r="K740" s="15">
        <v>0.0</v>
      </c>
      <c r="L740" s="17"/>
      <c r="M740" s="20" t="s">
        <v>75</v>
      </c>
    </row>
    <row r="741" ht="15.75" customHeight="1">
      <c r="A741" s="14" t="s">
        <v>97</v>
      </c>
      <c r="B741" s="15">
        <v>623.0</v>
      </c>
      <c r="C741" s="17" t="s">
        <v>2188</v>
      </c>
      <c r="D741" s="16" t="s">
        <v>357</v>
      </c>
      <c r="E741" s="15">
        <v>10563.0</v>
      </c>
      <c r="F741" s="19">
        <v>0.999810695693327</v>
      </c>
      <c r="G741" s="15">
        <v>0.0</v>
      </c>
      <c r="H741" s="15">
        <v>0.0</v>
      </c>
      <c r="I741" s="15">
        <v>1.0</v>
      </c>
      <c r="J741" s="15">
        <v>0.0</v>
      </c>
      <c r="K741" s="15">
        <v>0.0</v>
      </c>
      <c r="L741" s="17"/>
      <c r="M741" s="20" t="s">
        <v>75</v>
      </c>
    </row>
    <row r="742" ht="15.75" customHeight="1">
      <c r="A742" s="14" t="s">
        <v>97</v>
      </c>
      <c r="B742" s="15">
        <v>624.0</v>
      </c>
      <c r="C742" s="17" t="s">
        <v>2199</v>
      </c>
      <c r="D742" s="16" t="s">
        <v>68</v>
      </c>
      <c r="E742" s="15">
        <v>10563.0</v>
      </c>
      <c r="F742" s="19">
        <v>0.999810695693327</v>
      </c>
      <c r="G742" s="15">
        <v>0.0</v>
      </c>
      <c r="H742" s="15">
        <v>0.0</v>
      </c>
      <c r="I742" s="15">
        <v>1.0</v>
      </c>
      <c r="J742" s="15">
        <v>0.0</v>
      </c>
      <c r="K742" s="15">
        <v>0.0</v>
      </c>
      <c r="L742" s="17"/>
      <c r="M742" s="20" t="s">
        <v>2186</v>
      </c>
    </row>
    <row r="743" ht="15.75" customHeight="1">
      <c r="A743" s="14" t="s">
        <v>97</v>
      </c>
      <c r="B743" s="15">
        <v>625.0</v>
      </c>
      <c r="C743" s="17" t="s">
        <v>2192</v>
      </c>
      <c r="D743" s="16" t="s">
        <v>68</v>
      </c>
      <c r="E743" s="15">
        <v>10563.0</v>
      </c>
      <c r="F743" s="19">
        <v>0.999810695693327</v>
      </c>
      <c r="G743" s="15">
        <v>0.0</v>
      </c>
      <c r="H743" s="15">
        <v>0.0</v>
      </c>
      <c r="I743" s="15">
        <v>2.0</v>
      </c>
      <c r="J743" s="15">
        <v>0.0</v>
      </c>
      <c r="K743" s="15">
        <v>0.0</v>
      </c>
      <c r="L743" s="17"/>
      <c r="M743" s="20" t="s">
        <v>2460</v>
      </c>
    </row>
    <row r="744" ht="15.75" customHeight="1">
      <c r="A744" s="14" t="s">
        <v>97</v>
      </c>
      <c r="B744" s="15">
        <v>626.0</v>
      </c>
      <c r="C744" s="17" t="s">
        <v>1850</v>
      </c>
      <c r="D744" s="16" t="s">
        <v>68</v>
      </c>
      <c r="E744" s="15">
        <v>10563.0</v>
      </c>
      <c r="F744" s="19">
        <v>0.999810695693327</v>
      </c>
      <c r="G744" s="15">
        <v>1.0</v>
      </c>
      <c r="H744" s="15">
        <v>0.0</v>
      </c>
      <c r="I744" s="15">
        <v>2.0</v>
      </c>
      <c r="J744" s="15">
        <v>0.0</v>
      </c>
      <c r="K744" s="15">
        <v>0.0</v>
      </c>
      <c r="L744" s="17"/>
      <c r="M744" s="20" t="s">
        <v>1733</v>
      </c>
    </row>
    <row r="745" ht="15.75" customHeight="1">
      <c r="A745" s="14" t="s">
        <v>97</v>
      </c>
      <c r="B745" s="15">
        <v>627.0</v>
      </c>
      <c r="C745" s="17" t="s">
        <v>2193</v>
      </c>
      <c r="D745" s="16" t="s">
        <v>68</v>
      </c>
      <c r="E745" s="15">
        <v>10563.0</v>
      </c>
      <c r="F745" s="19">
        <v>0.999810695693327</v>
      </c>
      <c r="G745" s="15">
        <v>0.0</v>
      </c>
      <c r="H745" s="15">
        <v>0.0</v>
      </c>
      <c r="I745" s="15">
        <v>1.0</v>
      </c>
      <c r="J745" s="15">
        <v>0.0</v>
      </c>
      <c r="K745" s="15">
        <v>0.0</v>
      </c>
      <c r="L745" s="17"/>
      <c r="M745" s="20" t="s">
        <v>1214</v>
      </c>
    </row>
    <row r="746" ht="15.75" customHeight="1">
      <c r="A746" s="14" t="s">
        <v>97</v>
      </c>
      <c r="B746" s="15">
        <v>628.0</v>
      </c>
      <c r="C746" s="17" t="s">
        <v>2195</v>
      </c>
      <c r="D746" s="16" t="s">
        <v>68</v>
      </c>
      <c r="E746" s="15">
        <v>10564.0</v>
      </c>
      <c r="F746" s="19">
        <v>0.9999053478466635</v>
      </c>
      <c r="G746" s="15">
        <v>0.0</v>
      </c>
      <c r="H746" s="15">
        <v>0.0</v>
      </c>
      <c r="I746" s="15">
        <v>1.0</v>
      </c>
      <c r="J746" s="15">
        <v>0.0</v>
      </c>
      <c r="K746" s="15">
        <v>0.0</v>
      </c>
      <c r="L746" s="17"/>
      <c r="M746" s="20" t="s">
        <v>2186</v>
      </c>
    </row>
    <row r="747" ht="15.75" customHeight="1">
      <c r="A747" s="14" t="s">
        <v>97</v>
      </c>
      <c r="B747" s="15">
        <v>629.0</v>
      </c>
      <c r="C747" s="17" t="s">
        <v>2184</v>
      </c>
      <c r="D747" s="16" t="s">
        <v>458</v>
      </c>
      <c r="E747" s="15">
        <v>10563.0</v>
      </c>
      <c r="F747" s="19">
        <v>0.999810695693327</v>
      </c>
      <c r="G747" s="15">
        <v>0.0</v>
      </c>
      <c r="H747" s="15">
        <v>0.0</v>
      </c>
      <c r="I747" s="15">
        <v>2.0</v>
      </c>
      <c r="J747" s="15">
        <v>0.0</v>
      </c>
      <c r="K747" s="15">
        <v>0.0</v>
      </c>
      <c r="L747" s="17"/>
      <c r="M747" s="20" t="s">
        <v>2462</v>
      </c>
    </row>
    <row r="748" ht="15.75" customHeight="1">
      <c r="A748" s="14" t="s">
        <v>97</v>
      </c>
      <c r="B748" s="15">
        <v>630.0</v>
      </c>
      <c r="C748" s="17" t="s">
        <v>2187</v>
      </c>
      <c r="D748" s="16" t="s">
        <v>458</v>
      </c>
      <c r="E748" s="15">
        <v>10564.0</v>
      </c>
      <c r="F748" s="19">
        <v>0.9999053478466635</v>
      </c>
      <c r="G748" s="15">
        <v>0.0</v>
      </c>
      <c r="H748" s="15">
        <v>0.0</v>
      </c>
      <c r="I748" s="15">
        <v>1.0</v>
      </c>
      <c r="J748" s="15">
        <v>0.0</v>
      </c>
      <c r="K748" s="15">
        <v>0.0</v>
      </c>
      <c r="L748" s="17"/>
      <c r="M748" s="20" t="s">
        <v>2464</v>
      </c>
    </row>
    <row r="749" ht="15.75" customHeight="1">
      <c r="A749" s="14" t="s">
        <v>97</v>
      </c>
      <c r="B749" s="15">
        <v>631.0</v>
      </c>
      <c r="C749" s="17" t="s">
        <v>2209</v>
      </c>
      <c r="D749" s="16" t="s">
        <v>68</v>
      </c>
      <c r="E749" s="15">
        <v>10564.0</v>
      </c>
      <c r="F749" s="19">
        <v>0.9999053478466635</v>
      </c>
      <c r="G749" s="15">
        <v>0.0</v>
      </c>
      <c r="H749" s="15">
        <v>0.0</v>
      </c>
      <c r="I749" s="15">
        <v>1.0</v>
      </c>
      <c r="J749" s="15">
        <v>0.0</v>
      </c>
      <c r="K749" s="15">
        <v>0.0</v>
      </c>
      <c r="L749" s="17"/>
      <c r="M749" s="20" t="s">
        <v>2466</v>
      </c>
    </row>
    <row r="750" ht="15.75" customHeight="1">
      <c r="A750" s="14" t="s">
        <v>97</v>
      </c>
      <c r="B750" s="15">
        <v>632.0</v>
      </c>
      <c r="C750" s="17" t="s">
        <v>1856</v>
      </c>
      <c r="D750" s="16" t="s">
        <v>341</v>
      </c>
      <c r="E750" s="15">
        <v>10564.0</v>
      </c>
      <c r="F750" s="19">
        <v>0.9999053478466635</v>
      </c>
      <c r="G750" s="15">
        <v>1.0</v>
      </c>
      <c r="H750" s="15">
        <v>0.0</v>
      </c>
      <c r="I750" s="15">
        <v>1.0</v>
      </c>
      <c r="J750" s="15">
        <v>0.0</v>
      </c>
      <c r="K750" s="15">
        <v>0.0</v>
      </c>
      <c r="L750" s="17"/>
      <c r="M750" s="20" t="s">
        <v>1514</v>
      </c>
    </row>
    <row r="751" ht="15.75" customHeight="1">
      <c r="A751" s="14" t="s">
        <v>97</v>
      </c>
      <c r="B751" s="15">
        <v>633.0</v>
      </c>
      <c r="C751" s="17" t="s">
        <v>2201</v>
      </c>
      <c r="D751" s="16" t="s">
        <v>138</v>
      </c>
      <c r="E751" s="15">
        <v>10564.0</v>
      </c>
      <c r="F751" s="19">
        <v>0.9999053478466635</v>
      </c>
      <c r="G751" s="15">
        <v>0.0</v>
      </c>
      <c r="H751" s="15">
        <v>0.0</v>
      </c>
      <c r="I751" s="15">
        <v>1.0</v>
      </c>
      <c r="J751" s="15">
        <v>0.0</v>
      </c>
      <c r="K751" s="15">
        <v>0.0</v>
      </c>
      <c r="L751" s="17"/>
      <c r="M751" s="20" t="s">
        <v>2468</v>
      </c>
    </row>
    <row r="752" ht="15.75" customHeight="1">
      <c r="A752" s="14" t="s">
        <v>97</v>
      </c>
      <c r="B752" s="15">
        <v>634.0</v>
      </c>
      <c r="C752" s="17" t="s">
        <v>2203</v>
      </c>
      <c r="D752" s="16" t="s">
        <v>357</v>
      </c>
      <c r="E752" s="15">
        <v>10564.0</v>
      </c>
      <c r="F752" s="19">
        <v>0.9999053478466635</v>
      </c>
      <c r="G752" s="15">
        <v>0.0</v>
      </c>
      <c r="H752" s="15">
        <v>0.0</v>
      </c>
      <c r="I752" s="15">
        <v>1.0</v>
      </c>
      <c r="J752" s="15">
        <v>0.0</v>
      </c>
      <c r="K752" s="15">
        <v>0.0</v>
      </c>
      <c r="L752" s="17"/>
      <c r="M752" s="20" t="s">
        <v>75</v>
      </c>
    </row>
    <row r="753" ht="15.75" customHeight="1">
      <c r="A753" s="14" t="s">
        <v>97</v>
      </c>
      <c r="B753" s="15">
        <v>635.0</v>
      </c>
      <c r="C753" s="17" t="s">
        <v>2206</v>
      </c>
      <c r="D753" s="16" t="s">
        <v>357</v>
      </c>
      <c r="E753" s="15">
        <v>10564.0</v>
      </c>
      <c r="F753" s="19">
        <v>0.9999053478466635</v>
      </c>
      <c r="G753" s="15">
        <v>0.0</v>
      </c>
      <c r="H753" s="15">
        <v>0.0</v>
      </c>
      <c r="I753" s="15">
        <v>1.0</v>
      </c>
      <c r="J753" s="15">
        <v>0.0</v>
      </c>
      <c r="K753" s="15">
        <v>0.0</v>
      </c>
      <c r="L753" s="17"/>
      <c r="M753" s="20" t="s">
        <v>75</v>
      </c>
    </row>
    <row r="754" ht="15.75" customHeight="1">
      <c r="A754" s="14" t="s">
        <v>97</v>
      </c>
      <c r="B754" s="15">
        <v>636.0</v>
      </c>
      <c r="C754" s="17" t="s">
        <v>2220</v>
      </c>
      <c r="D754" s="16" t="s">
        <v>68</v>
      </c>
      <c r="E754" s="15">
        <v>10564.0</v>
      </c>
      <c r="F754" s="19">
        <v>0.9999053478466635</v>
      </c>
      <c r="G754" s="15">
        <v>0.0</v>
      </c>
      <c r="H754" s="15">
        <v>0.0</v>
      </c>
      <c r="I754" s="15">
        <v>1.0</v>
      </c>
      <c r="J754" s="15">
        <v>0.0</v>
      </c>
      <c r="K754" s="15">
        <v>0.0</v>
      </c>
      <c r="L754" s="17"/>
      <c r="M754" s="20" t="s">
        <v>2186</v>
      </c>
    </row>
    <row r="755" ht="15.75" customHeight="1">
      <c r="A755" s="14" t="s">
        <v>97</v>
      </c>
      <c r="B755" s="15">
        <v>637.0</v>
      </c>
      <c r="C755" s="17" t="s">
        <v>2211</v>
      </c>
      <c r="D755" s="16" t="s">
        <v>68</v>
      </c>
      <c r="E755" s="15">
        <v>10564.0</v>
      </c>
      <c r="F755" s="19">
        <v>0.9999053478466635</v>
      </c>
      <c r="G755" s="15">
        <v>0.0</v>
      </c>
      <c r="H755" s="15">
        <v>0.0</v>
      </c>
      <c r="I755" s="15">
        <v>1.0</v>
      </c>
      <c r="J755" s="15">
        <v>0.0</v>
      </c>
      <c r="K755" s="15">
        <v>0.0</v>
      </c>
      <c r="L755" s="17"/>
      <c r="M755" s="20" t="s">
        <v>2469</v>
      </c>
    </row>
    <row r="756" ht="15.75" customHeight="1">
      <c r="A756" s="14" t="s">
        <v>97</v>
      </c>
      <c r="B756" s="15">
        <v>638.0</v>
      </c>
      <c r="C756" s="17" t="s">
        <v>1854</v>
      </c>
      <c r="D756" s="16" t="s">
        <v>341</v>
      </c>
      <c r="E756" s="15">
        <v>10564.0</v>
      </c>
      <c r="F756" s="19">
        <v>0.9999053478466635</v>
      </c>
      <c r="G756" s="15">
        <v>1.0</v>
      </c>
      <c r="H756" s="15">
        <v>0.0</v>
      </c>
      <c r="I756" s="15">
        <v>1.0</v>
      </c>
      <c r="J756" s="15">
        <v>0.0</v>
      </c>
      <c r="K756" s="15">
        <v>0.0</v>
      </c>
      <c r="L756" s="17"/>
      <c r="M756" s="20" t="s">
        <v>1514</v>
      </c>
    </row>
    <row r="757" ht="15.75" customHeight="1">
      <c r="A757" s="14" t="s">
        <v>97</v>
      </c>
      <c r="B757" s="15">
        <v>639.0</v>
      </c>
      <c r="C757" s="17" t="s">
        <v>2213</v>
      </c>
      <c r="D757" s="16" t="s">
        <v>68</v>
      </c>
      <c r="E757" s="15">
        <v>10564.0</v>
      </c>
      <c r="F757" s="19">
        <v>0.9999053478466635</v>
      </c>
      <c r="G757" s="15">
        <v>0.0</v>
      </c>
      <c r="H757" s="15">
        <v>0.0</v>
      </c>
      <c r="I757" s="15">
        <v>1.0</v>
      </c>
      <c r="J757" s="15">
        <v>0.0</v>
      </c>
      <c r="K757" s="15">
        <v>0.0</v>
      </c>
      <c r="L757" s="17"/>
      <c r="M757" s="20" t="s">
        <v>1214</v>
      </c>
    </row>
    <row r="758" ht="15.75" customHeight="1">
      <c r="A758" s="14" t="s">
        <v>97</v>
      </c>
      <c r="B758" s="15">
        <v>640.0</v>
      </c>
      <c r="C758" s="17" t="s">
        <v>2215</v>
      </c>
      <c r="D758" s="16" t="s">
        <v>68</v>
      </c>
      <c r="E758" s="15">
        <v>10564.0</v>
      </c>
      <c r="F758" s="19">
        <v>0.9999053478466635</v>
      </c>
      <c r="G758" s="15">
        <v>0.0</v>
      </c>
      <c r="H758" s="15">
        <v>0.0</v>
      </c>
      <c r="I758" s="15">
        <v>1.0</v>
      </c>
      <c r="J758" s="15">
        <v>0.0</v>
      </c>
      <c r="K758" s="15">
        <v>0.0</v>
      </c>
      <c r="L758" s="17"/>
      <c r="M758" s="20" t="s">
        <v>2186</v>
      </c>
    </row>
    <row r="759" ht="15.75" customHeight="1">
      <c r="A759" s="14" t="s">
        <v>97</v>
      </c>
      <c r="B759" s="15">
        <v>641.0</v>
      </c>
      <c r="C759" s="17" t="s">
        <v>2204</v>
      </c>
      <c r="D759" s="16" t="s">
        <v>458</v>
      </c>
      <c r="E759" s="15">
        <v>10564.0</v>
      </c>
      <c r="F759" s="19">
        <v>0.9999053478466635</v>
      </c>
      <c r="G759" s="15">
        <v>0.0</v>
      </c>
      <c r="H759" s="15">
        <v>0.0</v>
      </c>
      <c r="I759" s="15">
        <v>1.0</v>
      </c>
      <c r="J759" s="15">
        <v>0.0</v>
      </c>
      <c r="K759" s="15">
        <v>0.0</v>
      </c>
      <c r="L759" s="17"/>
      <c r="M759" s="20" t="s">
        <v>2471</v>
      </c>
    </row>
    <row r="760" ht="15.75" customHeight="1">
      <c r="A760" s="14" t="s">
        <v>97</v>
      </c>
      <c r="B760" s="15">
        <v>642.0</v>
      </c>
      <c r="C760" s="17" t="s">
        <v>2233</v>
      </c>
      <c r="D760" s="16" t="s">
        <v>68</v>
      </c>
      <c r="E760" s="15">
        <v>10564.0</v>
      </c>
      <c r="F760" s="19">
        <v>0.9999053478466635</v>
      </c>
      <c r="G760" s="15">
        <v>0.0</v>
      </c>
      <c r="H760" s="15">
        <v>0.0</v>
      </c>
      <c r="I760" s="15">
        <v>1.0</v>
      </c>
      <c r="J760" s="15">
        <v>0.0</v>
      </c>
      <c r="K760" s="15">
        <v>0.0</v>
      </c>
      <c r="L760" s="17"/>
      <c r="M760" s="20" t="s">
        <v>2473</v>
      </c>
    </row>
    <row r="761" ht="15.75" customHeight="1">
      <c r="A761" s="14" t="s">
        <v>97</v>
      </c>
      <c r="B761" s="15">
        <v>643.0</v>
      </c>
      <c r="C761" s="17" t="s">
        <v>1858</v>
      </c>
      <c r="D761" s="16" t="s">
        <v>341</v>
      </c>
      <c r="E761" s="15">
        <v>10564.0</v>
      </c>
      <c r="F761" s="19">
        <v>0.9999053478466635</v>
      </c>
      <c r="G761" s="15">
        <v>1.0</v>
      </c>
      <c r="H761" s="15">
        <v>0.0</v>
      </c>
      <c r="I761" s="15">
        <v>1.0</v>
      </c>
      <c r="J761" s="15">
        <v>0.0</v>
      </c>
      <c r="K761" s="15">
        <v>0.0</v>
      </c>
      <c r="L761" s="17"/>
      <c r="M761" s="20" t="s">
        <v>1514</v>
      </c>
    </row>
    <row r="762" ht="15.75" customHeight="1">
      <c r="A762" s="14" t="s">
        <v>97</v>
      </c>
      <c r="B762" s="15">
        <v>644.0</v>
      </c>
      <c r="C762" s="17" t="s">
        <v>2222</v>
      </c>
      <c r="D762" s="16" t="s">
        <v>138</v>
      </c>
      <c r="E762" s="15">
        <v>10564.0</v>
      </c>
      <c r="F762" s="19">
        <v>0.9999053478466635</v>
      </c>
      <c r="G762" s="15">
        <v>0.0</v>
      </c>
      <c r="H762" s="15">
        <v>0.0</v>
      </c>
      <c r="I762" s="15">
        <v>1.0</v>
      </c>
      <c r="J762" s="15">
        <v>0.0</v>
      </c>
      <c r="K762" s="15">
        <v>0.0</v>
      </c>
      <c r="L762" s="17"/>
      <c r="M762" s="20" t="s">
        <v>2468</v>
      </c>
    </row>
    <row r="763" ht="15.75" customHeight="1">
      <c r="A763" s="14" t="s">
        <v>97</v>
      </c>
      <c r="B763" s="15">
        <v>645.0</v>
      </c>
      <c r="C763" s="17" t="s">
        <v>2226</v>
      </c>
      <c r="D763" s="16" t="s">
        <v>357</v>
      </c>
      <c r="E763" s="15">
        <v>10564.0</v>
      </c>
      <c r="F763" s="19">
        <v>0.9999053478466635</v>
      </c>
      <c r="G763" s="15">
        <v>0.0</v>
      </c>
      <c r="H763" s="15">
        <v>0.0</v>
      </c>
      <c r="I763" s="15">
        <v>1.0</v>
      </c>
      <c r="J763" s="15">
        <v>0.0</v>
      </c>
      <c r="K763" s="15">
        <v>0.0</v>
      </c>
      <c r="L763" s="17"/>
      <c r="M763" s="20" t="s">
        <v>75</v>
      </c>
    </row>
    <row r="764" ht="15.75" customHeight="1">
      <c r="A764" s="14" t="s">
        <v>97</v>
      </c>
      <c r="B764" s="15">
        <v>646.0</v>
      </c>
      <c r="C764" s="17" t="s">
        <v>2231</v>
      </c>
      <c r="D764" s="16" t="s">
        <v>357</v>
      </c>
      <c r="E764" s="15">
        <v>10564.0</v>
      </c>
      <c r="F764" s="19">
        <v>0.9999053478466635</v>
      </c>
      <c r="G764" s="15">
        <v>0.0</v>
      </c>
      <c r="H764" s="15">
        <v>0.0</v>
      </c>
      <c r="I764" s="15">
        <v>1.0</v>
      </c>
      <c r="J764" s="15">
        <v>0.0</v>
      </c>
      <c r="K764" s="15">
        <v>0.0</v>
      </c>
      <c r="L764" s="17"/>
      <c r="M764" s="20" t="s">
        <v>75</v>
      </c>
    </row>
    <row r="765" ht="15.75" customHeight="1">
      <c r="A765" s="14" t="s">
        <v>97</v>
      </c>
      <c r="B765" s="15">
        <v>647.0</v>
      </c>
      <c r="C765" s="17" t="s">
        <v>2241</v>
      </c>
      <c r="D765" s="16" t="s">
        <v>68</v>
      </c>
      <c r="E765" s="15">
        <v>10564.0</v>
      </c>
      <c r="F765" s="19">
        <v>0.9999053478466635</v>
      </c>
      <c r="G765" s="15">
        <v>0.0</v>
      </c>
      <c r="H765" s="15">
        <v>0.0</v>
      </c>
      <c r="I765" s="15">
        <v>1.0</v>
      </c>
      <c r="J765" s="15">
        <v>0.0</v>
      </c>
      <c r="K765" s="15">
        <v>0.0</v>
      </c>
      <c r="L765" s="17"/>
      <c r="M765" s="20" t="s">
        <v>2186</v>
      </c>
    </row>
    <row r="766" ht="15.75" customHeight="1">
      <c r="A766" s="14" t="s">
        <v>97</v>
      </c>
      <c r="B766" s="15">
        <v>648.0</v>
      </c>
      <c r="C766" s="17" t="s">
        <v>2235</v>
      </c>
      <c r="D766" s="16" t="s">
        <v>68</v>
      </c>
      <c r="E766" s="15">
        <v>10564.0</v>
      </c>
      <c r="F766" s="19">
        <v>0.9999053478466635</v>
      </c>
      <c r="G766" s="15">
        <v>0.0</v>
      </c>
      <c r="H766" s="15">
        <v>0.0</v>
      </c>
      <c r="I766" s="15">
        <v>1.0</v>
      </c>
      <c r="J766" s="15">
        <v>0.0</v>
      </c>
      <c r="K766" s="15">
        <v>0.0</v>
      </c>
      <c r="L766" s="17"/>
      <c r="M766" s="20" t="s">
        <v>2475</v>
      </c>
    </row>
    <row r="767" ht="15.75" customHeight="1">
      <c r="A767" s="14" t="s">
        <v>97</v>
      </c>
      <c r="B767" s="15">
        <v>649.0</v>
      </c>
      <c r="C767" s="17" t="s">
        <v>1857</v>
      </c>
      <c r="D767" s="16" t="s">
        <v>341</v>
      </c>
      <c r="E767" s="15">
        <v>10564.0</v>
      </c>
      <c r="F767" s="19">
        <v>0.9999053478466635</v>
      </c>
      <c r="G767" s="15">
        <v>1.0</v>
      </c>
      <c r="H767" s="15">
        <v>0.0</v>
      </c>
      <c r="I767" s="15">
        <v>1.0</v>
      </c>
      <c r="J767" s="15">
        <v>0.0</v>
      </c>
      <c r="K767" s="15">
        <v>0.0</v>
      </c>
      <c r="L767" s="17"/>
      <c r="M767" s="20" t="s">
        <v>1514</v>
      </c>
    </row>
    <row r="768" ht="15.75" customHeight="1">
      <c r="A768" s="14" t="s">
        <v>97</v>
      </c>
      <c r="B768" s="15">
        <v>650.0</v>
      </c>
      <c r="C768" s="17" t="s">
        <v>2236</v>
      </c>
      <c r="D768" s="16" t="s">
        <v>68</v>
      </c>
      <c r="E768" s="15">
        <v>10564.0</v>
      </c>
      <c r="F768" s="19">
        <v>0.9999053478466635</v>
      </c>
      <c r="G768" s="15">
        <v>0.0</v>
      </c>
      <c r="H768" s="15">
        <v>0.0</v>
      </c>
      <c r="I768" s="15">
        <v>1.0</v>
      </c>
      <c r="J768" s="15">
        <v>0.0</v>
      </c>
      <c r="K768" s="15">
        <v>0.0</v>
      </c>
      <c r="L768" s="17"/>
      <c r="M768" s="20" t="s">
        <v>1214</v>
      </c>
    </row>
    <row r="769" ht="15.75" customHeight="1">
      <c r="A769" s="14" t="s">
        <v>97</v>
      </c>
      <c r="B769" s="15">
        <v>651.0</v>
      </c>
      <c r="C769" s="17" t="s">
        <v>2238</v>
      </c>
      <c r="D769" s="16" t="s">
        <v>68</v>
      </c>
      <c r="E769" s="15">
        <v>10564.0</v>
      </c>
      <c r="F769" s="19">
        <v>0.9999053478466635</v>
      </c>
      <c r="G769" s="15">
        <v>0.0</v>
      </c>
      <c r="H769" s="15">
        <v>0.0</v>
      </c>
      <c r="I769" s="15">
        <v>1.0</v>
      </c>
      <c r="J769" s="15">
        <v>0.0</v>
      </c>
      <c r="K769" s="15">
        <v>0.0</v>
      </c>
      <c r="L769" s="17"/>
      <c r="M769" s="20" t="s">
        <v>2186</v>
      </c>
    </row>
    <row r="770" ht="15.75" customHeight="1">
      <c r="A770" s="14" t="s">
        <v>97</v>
      </c>
      <c r="B770" s="15">
        <v>652.0</v>
      </c>
      <c r="C770" s="17" t="s">
        <v>2228</v>
      </c>
      <c r="D770" s="16" t="s">
        <v>458</v>
      </c>
      <c r="E770" s="15">
        <v>10564.0</v>
      </c>
      <c r="F770" s="19">
        <v>0.9999053478466635</v>
      </c>
      <c r="G770" s="15">
        <v>0.0</v>
      </c>
      <c r="H770" s="15">
        <v>0.0</v>
      </c>
      <c r="I770" s="15">
        <v>1.0</v>
      </c>
      <c r="J770" s="15">
        <v>0.0</v>
      </c>
      <c r="K770" s="15">
        <v>0.0</v>
      </c>
      <c r="L770" s="17"/>
      <c r="M770" s="20" t="s">
        <v>2477</v>
      </c>
    </row>
    <row r="771" ht="15.75" customHeight="1">
      <c r="A771" s="14" t="s">
        <v>97</v>
      </c>
      <c r="B771" s="15">
        <v>653.0</v>
      </c>
      <c r="C771" s="17" t="s">
        <v>435</v>
      </c>
      <c r="D771" s="16" t="s">
        <v>68</v>
      </c>
      <c r="E771" s="15">
        <v>10564.0</v>
      </c>
      <c r="F771" s="19">
        <v>0.9999053478466635</v>
      </c>
      <c r="G771" s="15">
        <v>0.0</v>
      </c>
      <c r="H771" s="15">
        <v>0.0</v>
      </c>
      <c r="I771" s="15">
        <v>1.0</v>
      </c>
      <c r="J771" s="15">
        <v>0.0</v>
      </c>
      <c r="K771" s="15">
        <v>1.0</v>
      </c>
      <c r="L771" s="17"/>
      <c r="M771" s="20" t="s">
        <v>2479</v>
      </c>
    </row>
    <row r="772" ht="15.75" customHeight="1">
      <c r="A772" s="14" t="s">
        <v>97</v>
      </c>
      <c r="B772" s="15">
        <v>654.0</v>
      </c>
      <c r="C772" s="17" t="s">
        <v>1871</v>
      </c>
      <c r="D772" s="16" t="s">
        <v>341</v>
      </c>
      <c r="E772" s="15">
        <v>10564.0</v>
      </c>
      <c r="F772" s="19">
        <v>0.9999053478466635</v>
      </c>
      <c r="G772" s="15">
        <v>1.0</v>
      </c>
      <c r="H772" s="15">
        <v>0.0</v>
      </c>
      <c r="I772" s="15">
        <v>1.0</v>
      </c>
      <c r="J772" s="15">
        <v>0.0</v>
      </c>
      <c r="K772" s="15">
        <v>0.0</v>
      </c>
      <c r="L772" s="17"/>
      <c r="M772" s="20" t="s">
        <v>1514</v>
      </c>
    </row>
    <row r="773" ht="15.75" customHeight="1">
      <c r="A773" s="14" t="s">
        <v>97</v>
      </c>
      <c r="B773" s="15">
        <v>655.0</v>
      </c>
      <c r="C773" s="17" t="s">
        <v>2271</v>
      </c>
      <c r="D773" s="16" t="s">
        <v>138</v>
      </c>
      <c r="E773" s="15">
        <v>10564.0</v>
      </c>
      <c r="F773" s="19">
        <v>0.9999053478466635</v>
      </c>
      <c r="G773" s="15">
        <v>0.0</v>
      </c>
      <c r="H773" s="15">
        <v>0.0</v>
      </c>
      <c r="I773" s="15">
        <v>1.0</v>
      </c>
      <c r="J773" s="15">
        <v>0.0</v>
      </c>
      <c r="K773" s="15">
        <v>0.0</v>
      </c>
      <c r="L773" s="17"/>
      <c r="M773" s="20" t="s">
        <v>2468</v>
      </c>
    </row>
    <row r="774" ht="15.75" customHeight="1">
      <c r="A774" s="14" t="s">
        <v>97</v>
      </c>
      <c r="B774" s="15">
        <v>656.0</v>
      </c>
      <c r="C774" s="17" t="s">
        <v>2272</v>
      </c>
      <c r="D774" s="16" t="s">
        <v>357</v>
      </c>
      <c r="E774" s="15">
        <v>10564.0</v>
      </c>
      <c r="F774" s="19">
        <v>0.9999053478466635</v>
      </c>
      <c r="G774" s="15">
        <v>0.0</v>
      </c>
      <c r="H774" s="15">
        <v>0.0</v>
      </c>
      <c r="I774" s="15">
        <v>1.0</v>
      </c>
      <c r="J774" s="15">
        <v>0.0</v>
      </c>
      <c r="K774" s="15">
        <v>0.0</v>
      </c>
      <c r="L774" s="17"/>
      <c r="M774" s="20" t="s">
        <v>75</v>
      </c>
    </row>
    <row r="775" ht="15.75" customHeight="1">
      <c r="A775" s="14" t="s">
        <v>97</v>
      </c>
      <c r="B775" s="15">
        <v>657.0</v>
      </c>
      <c r="C775" s="17" t="s">
        <v>2277</v>
      </c>
      <c r="D775" s="16" t="s">
        <v>357</v>
      </c>
      <c r="E775" s="15">
        <v>10564.0</v>
      </c>
      <c r="F775" s="19">
        <v>0.9999053478466635</v>
      </c>
      <c r="G775" s="15">
        <v>0.0</v>
      </c>
      <c r="H775" s="15">
        <v>0.0</v>
      </c>
      <c r="I775" s="15">
        <v>1.0</v>
      </c>
      <c r="J775" s="15">
        <v>0.0</v>
      </c>
      <c r="K775" s="15">
        <v>0.0</v>
      </c>
      <c r="L775" s="17"/>
      <c r="M775" s="20" t="s">
        <v>75</v>
      </c>
    </row>
    <row r="776" ht="15.75" customHeight="1">
      <c r="A776" s="14" t="s">
        <v>97</v>
      </c>
      <c r="B776" s="15">
        <v>658.0</v>
      </c>
      <c r="C776" s="17" t="s">
        <v>2279</v>
      </c>
      <c r="D776" s="16" t="s">
        <v>68</v>
      </c>
      <c r="E776" s="15">
        <v>10564.0</v>
      </c>
      <c r="F776" s="19">
        <v>0.9999053478466635</v>
      </c>
      <c r="G776" s="15">
        <v>0.0</v>
      </c>
      <c r="H776" s="15">
        <v>0.0</v>
      </c>
      <c r="I776" s="15">
        <v>1.0</v>
      </c>
      <c r="J776" s="15">
        <v>0.0</v>
      </c>
      <c r="K776" s="15">
        <v>0.0</v>
      </c>
      <c r="L776" s="17"/>
      <c r="M776" s="20" t="s">
        <v>2481</v>
      </c>
    </row>
    <row r="777" ht="15.75" customHeight="1">
      <c r="A777" s="14" t="s">
        <v>97</v>
      </c>
      <c r="B777" s="15">
        <v>659.0</v>
      </c>
      <c r="C777" s="17" t="s">
        <v>1868</v>
      </c>
      <c r="D777" s="16" t="s">
        <v>341</v>
      </c>
      <c r="E777" s="15">
        <v>10564.0</v>
      </c>
      <c r="F777" s="19">
        <v>0.9999053478466635</v>
      </c>
      <c r="G777" s="15">
        <v>1.0</v>
      </c>
      <c r="H777" s="15">
        <v>0.0</v>
      </c>
      <c r="I777" s="15">
        <v>1.0</v>
      </c>
      <c r="J777" s="15">
        <v>0.0</v>
      </c>
      <c r="K777" s="15">
        <v>0.0</v>
      </c>
      <c r="L777" s="17"/>
      <c r="M777" s="20" t="s">
        <v>1514</v>
      </c>
    </row>
    <row r="778" ht="15.75" customHeight="1">
      <c r="A778" s="14" t="s">
        <v>97</v>
      </c>
      <c r="B778" s="15">
        <v>660.0</v>
      </c>
      <c r="C778" s="17" t="s">
        <v>2282</v>
      </c>
      <c r="D778" s="16" t="s">
        <v>68</v>
      </c>
      <c r="E778" s="15">
        <v>10564.0</v>
      </c>
      <c r="F778" s="19">
        <v>0.9999053478466635</v>
      </c>
      <c r="G778" s="15">
        <v>0.0</v>
      </c>
      <c r="H778" s="15">
        <v>0.0</v>
      </c>
      <c r="I778" s="15">
        <v>1.0</v>
      </c>
      <c r="J778" s="15">
        <v>0.0</v>
      </c>
      <c r="K778" s="15">
        <v>0.0</v>
      </c>
      <c r="L778" s="17"/>
      <c r="M778" s="20" t="s">
        <v>1214</v>
      </c>
    </row>
    <row r="779" ht="15.75" customHeight="1">
      <c r="A779" s="14" t="s">
        <v>97</v>
      </c>
      <c r="B779" s="15">
        <v>661.0</v>
      </c>
      <c r="C779" s="17" t="s">
        <v>2276</v>
      </c>
      <c r="D779" s="16" t="s">
        <v>458</v>
      </c>
      <c r="E779" s="15">
        <v>10564.0</v>
      </c>
      <c r="F779" s="19">
        <v>0.9999053478466635</v>
      </c>
      <c r="G779" s="15">
        <v>0.0</v>
      </c>
      <c r="H779" s="15">
        <v>0.0</v>
      </c>
      <c r="I779" s="15">
        <v>1.0</v>
      </c>
      <c r="J779" s="15">
        <v>0.0</v>
      </c>
      <c r="K779" s="15">
        <v>0.0</v>
      </c>
      <c r="L779" s="17"/>
      <c r="M779" s="20" t="s">
        <v>2483</v>
      </c>
    </row>
    <row r="780" ht="15.75" customHeight="1">
      <c r="A780" s="14" t="s">
        <v>114</v>
      </c>
      <c r="B780" s="15">
        <v>1.0</v>
      </c>
      <c r="C780" s="17" t="s">
        <v>2485</v>
      </c>
      <c r="D780" s="16" t="s">
        <v>138</v>
      </c>
      <c r="E780" s="15">
        <v>0.0</v>
      </c>
      <c r="F780" s="19">
        <v>0.0</v>
      </c>
      <c r="G780" s="15">
        <v>0.0</v>
      </c>
      <c r="H780" s="15">
        <v>0.0</v>
      </c>
      <c r="I780" s="15">
        <v>2122.0</v>
      </c>
      <c r="J780" s="15">
        <v>0.0</v>
      </c>
      <c r="K780" s="15">
        <v>0.0</v>
      </c>
      <c r="L780" s="17" t="s">
        <v>2627</v>
      </c>
      <c r="M780" s="20" t="s">
        <v>2486</v>
      </c>
    </row>
    <row r="781" ht="15.75" customHeight="1">
      <c r="A781" s="14" t="s">
        <v>114</v>
      </c>
      <c r="B781" s="15">
        <v>2.0</v>
      </c>
      <c r="C781" s="17" t="s">
        <v>2490</v>
      </c>
      <c r="D781" s="16" t="s">
        <v>66</v>
      </c>
      <c r="E781" s="15">
        <v>1.0</v>
      </c>
      <c r="F781" s="19">
        <v>4.71253534401508E-4</v>
      </c>
      <c r="G781" s="15">
        <v>0.0</v>
      </c>
      <c r="H781" s="15">
        <v>0.0</v>
      </c>
      <c r="I781" s="15">
        <v>1791.0</v>
      </c>
      <c r="J781" s="15">
        <v>0.0</v>
      </c>
      <c r="K781" s="15">
        <v>0.0</v>
      </c>
      <c r="L781" s="17"/>
      <c r="M781" s="20" t="s">
        <v>2491</v>
      </c>
    </row>
    <row r="782" ht="15.75" customHeight="1">
      <c r="A782" s="14" t="s">
        <v>114</v>
      </c>
      <c r="B782" s="15">
        <v>3.0</v>
      </c>
      <c r="C782" s="17" t="s">
        <v>668</v>
      </c>
      <c r="D782" s="16" t="s">
        <v>68</v>
      </c>
      <c r="E782" s="15">
        <v>543.0</v>
      </c>
      <c r="F782" s="19">
        <v>0.25589066918001885</v>
      </c>
      <c r="G782" s="15">
        <v>0.0</v>
      </c>
      <c r="H782" s="15">
        <v>0.0</v>
      </c>
      <c r="I782" s="15">
        <v>9.0</v>
      </c>
      <c r="J782" s="15">
        <v>0.0</v>
      </c>
      <c r="K782" s="15">
        <v>0.0</v>
      </c>
      <c r="L782" s="17"/>
      <c r="M782" s="20" t="s">
        <v>2494</v>
      </c>
    </row>
    <row r="783" ht="15.75" customHeight="1">
      <c r="A783" s="14" t="s">
        <v>114</v>
      </c>
      <c r="B783" s="15">
        <v>4.0</v>
      </c>
      <c r="C783" s="17" t="s">
        <v>2497</v>
      </c>
      <c r="D783" s="16" t="s">
        <v>68</v>
      </c>
      <c r="E783" s="15">
        <v>0.0</v>
      </c>
      <c r="F783" s="19">
        <v>0.0</v>
      </c>
      <c r="G783" s="15">
        <v>0.0</v>
      </c>
      <c r="H783" s="15">
        <v>0.0</v>
      </c>
      <c r="I783" s="15">
        <v>2121.0</v>
      </c>
      <c r="J783" s="15">
        <v>0.0</v>
      </c>
      <c r="K783" s="15">
        <v>0.0</v>
      </c>
      <c r="L783" s="17"/>
      <c r="M783" s="20" t="s">
        <v>2498</v>
      </c>
    </row>
    <row r="784" ht="15.75" customHeight="1">
      <c r="A784" s="14" t="s">
        <v>114</v>
      </c>
      <c r="B784" s="15">
        <v>5.0</v>
      </c>
      <c r="C784" s="17" t="s">
        <v>2500</v>
      </c>
      <c r="D784" s="16" t="s">
        <v>68</v>
      </c>
      <c r="E784" s="15">
        <v>2120.0</v>
      </c>
      <c r="F784" s="19">
        <v>0.9990574929311969</v>
      </c>
      <c r="G784" s="15">
        <v>0.0</v>
      </c>
      <c r="H784" s="15">
        <v>0.0</v>
      </c>
      <c r="I784" s="15">
        <v>2.0</v>
      </c>
      <c r="J784" s="15">
        <v>0.0</v>
      </c>
      <c r="K784" s="15">
        <v>0.0</v>
      </c>
      <c r="L784" s="17"/>
      <c r="M784" s="20" t="s">
        <v>2501</v>
      </c>
    </row>
    <row r="785" ht="15.75" customHeight="1">
      <c r="A785" s="14" t="s">
        <v>114</v>
      </c>
      <c r="B785" s="15">
        <v>6.0</v>
      </c>
      <c r="C785" s="17" t="s">
        <v>2504</v>
      </c>
      <c r="D785" s="16" t="s">
        <v>68</v>
      </c>
      <c r="E785" s="15">
        <v>0.0</v>
      </c>
      <c r="F785" s="19">
        <v>0.0</v>
      </c>
      <c r="G785" s="15">
        <v>0.0</v>
      </c>
      <c r="H785" s="15">
        <v>0.0</v>
      </c>
      <c r="I785" s="15">
        <v>235.0</v>
      </c>
      <c r="J785" s="15">
        <v>0.0</v>
      </c>
      <c r="K785" s="15">
        <v>0.0</v>
      </c>
      <c r="L785" s="17"/>
      <c r="M785" s="20" t="s">
        <v>2505</v>
      </c>
    </row>
    <row r="786" ht="15.75" customHeight="1">
      <c r="A786" s="14" t="s">
        <v>114</v>
      </c>
      <c r="B786" s="15">
        <v>7.0</v>
      </c>
      <c r="C786" s="17" t="s">
        <v>2507</v>
      </c>
      <c r="D786" s="16" t="s">
        <v>68</v>
      </c>
      <c r="E786" s="15">
        <v>0.0</v>
      </c>
      <c r="F786" s="19">
        <v>0.0</v>
      </c>
      <c r="G786" s="15">
        <v>0.0</v>
      </c>
      <c r="H786" s="15">
        <v>0.0</v>
      </c>
      <c r="I786" s="15">
        <v>5.0</v>
      </c>
      <c r="J786" s="15">
        <v>0.0</v>
      </c>
      <c r="K786" s="15">
        <v>0.0</v>
      </c>
      <c r="L786" s="17"/>
      <c r="M786" s="20" t="s">
        <v>2508</v>
      </c>
    </row>
    <row r="787" ht="15.75" customHeight="1">
      <c r="A787" s="14" t="s">
        <v>114</v>
      </c>
      <c r="B787" s="15">
        <v>8.0</v>
      </c>
      <c r="C787" s="17" t="s">
        <v>2510</v>
      </c>
      <c r="D787" s="16" t="s">
        <v>138</v>
      </c>
      <c r="E787" s="15">
        <v>0.0</v>
      </c>
      <c r="F787" s="19">
        <v>0.0</v>
      </c>
      <c r="G787" s="15">
        <v>0.0</v>
      </c>
      <c r="H787" s="15">
        <v>0.0</v>
      </c>
      <c r="I787" s="15">
        <v>402.0</v>
      </c>
      <c r="J787" s="15">
        <v>0.0</v>
      </c>
      <c r="K787" s="15">
        <v>0.0</v>
      </c>
      <c r="L787" s="17" t="s">
        <v>146</v>
      </c>
      <c r="M787" s="20" t="s">
        <v>2511</v>
      </c>
    </row>
    <row r="788" ht="15.75" customHeight="1">
      <c r="A788" s="14" t="s">
        <v>114</v>
      </c>
      <c r="B788" s="15">
        <v>9.0</v>
      </c>
      <c r="C788" s="17" t="s">
        <v>413</v>
      </c>
      <c r="D788" s="16" t="s">
        <v>68</v>
      </c>
      <c r="E788" s="15">
        <v>5.0</v>
      </c>
      <c r="F788" s="19">
        <v>0.00235626767200754</v>
      </c>
      <c r="G788" s="15">
        <v>0.0</v>
      </c>
      <c r="H788" s="15">
        <v>0.0</v>
      </c>
      <c r="I788" s="15">
        <v>1963.0</v>
      </c>
      <c r="J788" s="15">
        <v>0.0</v>
      </c>
      <c r="K788" s="15">
        <v>3.0</v>
      </c>
      <c r="L788" s="17"/>
      <c r="M788" s="20" t="s">
        <v>2513</v>
      </c>
    </row>
    <row r="789" ht="15.75" customHeight="1">
      <c r="A789" s="14" t="s">
        <v>114</v>
      </c>
      <c r="B789" s="15">
        <v>10.0</v>
      </c>
      <c r="C789" s="17" t="s">
        <v>1563</v>
      </c>
      <c r="D789" s="16" t="s">
        <v>138</v>
      </c>
      <c r="E789" s="15">
        <v>90.0</v>
      </c>
      <c r="F789" s="19">
        <v>0.04241281809613572</v>
      </c>
      <c r="G789" s="15">
        <v>0.0</v>
      </c>
      <c r="H789" s="15">
        <v>0.0</v>
      </c>
      <c r="I789" s="15">
        <v>1886.0</v>
      </c>
      <c r="J789" s="15">
        <v>0.0</v>
      </c>
      <c r="K789" s="15">
        <v>0.0</v>
      </c>
      <c r="L789" s="17"/>
      <c r="M789" s="20" t="s">
        <v>2517</v>
      </c>
    </row>
    <row r="790" ht="15.75" customHeight="1">
      <c r="A790" s="14" t="s">
        <v>114</v>
      </c>
      <c r="B790" s="15">
        <v>11.0</v>
      </c>
      <c r="C790" s="17" t="s">
        <v>1569</v>
      </c>
      <c r="D790" s="16" t="s">
        <v>138</v>
      </c>
      <c r="E790" s="15">
        <v>543.0</v>
      </c>
      <c r="F790" s="19">
        <v>0.25589066918001885</v>
      </c>
      <c r="G790" s="15">
        <v>0.0</v>
      </c>
      <c r="H790" s="15">
        <v>0.0</v>
      </c>
      <c r="I790" s="15">
        <v>1460.0</v>
      </c>
      <c r="J790" s="15">
        <v>0.0</v>
      </c>
      <c r="K790" s="15">
        <v>0.0</v>
      </c>
      <c r="L790" s="17"/>
      <c r="M790" s="20" t="s">
        <v>2520</v>
      </c>
    </row>
    <row r="791" ht="15.75" customHeight="1">
      <c r="A791" s="14" t="s">
        <v>114</v>
      </c>
      <c r="B791" s="15">
        <v>12.0</v>
      </c>
      <c r="C791" s="17" t="s">
        <v>1574</v>
      </c>
      <c r="D791" s="16" t="s">
        <v>138</v>
      </c>
      <c r="E791" s="15">
        <v>1186.0</v>
      </c>
      <c r="F791" s="19">
        <v>0.5589066918001885</v>
      </c>
      <c r="G791" s="15">
        <v>0.0</v>
      </c>
      <c r="H791" s="15">
        <v>0.0</v>
      </c>
      <c r="I791" s="15">
        <v>861.0</v>
      </c>
      <c r="J791" s="15">
        <v>0.0</v>
      </c>
      <c r="K791" s="15">
        <v>0.0</v>
      </c>
      <c r="L791" s="17"/>
      <c r="M791" s="20" t="s">
        <v>2522</v>
      </c>
    </row>
    <row r="792" ht="15.75" customHeight="1">
      <c r="A792" s="14" t="s">
        <v>114</v>
      </c>
      <c r="B792" s="15">
        <v>13.0</v>
      </c>
      <c r="C792" s="17" t="s">
        <v>2524</v>
      </c>
      <c r="D792" s="16" t="s">
        <v>138</v>
      </c>
      <c r="E792" s="15">
        <v>83.0</v>
      </c>
      <c r="F792" s="19">
        <v>0.039114043355325166</v>
      </c>
      <c r="G792" s="15">
        <v>0.0</v>
      </c>
      <c r="H792" s="15">
        <v>0.0</v>
      </c>
      <c r="I792" s="15">
        <v>2.0</v>
      </c>
      <c r="J792" s="15">
        <v>0.0</v>
      </c>
      <c r="K792" s="15">
        <v>0.0</v>
      </c>
      <c r="L792" s="17"/>
      <c r="M792" s="20" t="s">
        <v>2525</v>
      </c>
    </row>
    <row r="793" ht="15.75" customHeight="1">
      <c r="A793" s="14" t="s">
        <v>114</v>
      </c>
      <c r="B793" s="15">
        <v>14.0</v>
      </c>
      <c r="C793" s="17" t="s">
        <v>2526</v>
      </c>
      <c r="D793" s="16" t="s">
        <v>138</v>
      </c>
      <c r="E793" s="15">
        <v>539.0</v>
      </c>
      <c r="F793" s="19">
        <v>0.2540056550424128</v>
      </c>
      <c r="G793" s="15">
        <v>0.0</v>
      </c>
      <c r="H793" s="15">
        <v>0.0</v>
      </c>
      <c r="I793" s="15">
        <v>2.0</v>
      </c>
      <c r="J793" s="15">
        <v>0.0</v>
      </c>
      <c r="K793" s="15">
        <v>0.0</v>
      </c>
      <c r="L793" s="17"/>
      <c r="M793" s="20" t="s">
        <v>2525</v>
      </c>
    </row>
    <row r="794" ht="15.75" customHeight="1">
      <c r="A794" s="14" t="s">
        <v>114</v>
      </c>
      <c r="B794" s="15">
        <v>15.0</v>
      </c>
      <c r="C794" s="17" t="s">
        <v>2527</v>
      </c>
      <c r="D794" s="16" t="s">
        <v>138</v>
      </c>
      <c r="E794" s="15">
        <v>1185.0</v>
      </c>
      <c r="F794" s="19">
        <v>0.558435438265787</v>
      </c>
      <c r="G794" s="15">
        <v>0.0</v>
      </c>
      <c r="H794" s="15">
        <v>0.0</v>
      </c>
      <c r="I794" s="15">
        <v>2.0</v>
      </c>
      <c r="J794" s="15">
        <v>0.0</v>
      </c>
      <c r="K794" s="15">
        <v>0.0</v>
      </c>
      <c r="L794" s="17"/>
      <c r="M794" s="20" t="s">
        <v>2528</v>
      </c>
    </row>
    <row r="795" ht="15.75" customHeight="1">
      <c r="A795" s="14" t="s">
        <v>114</v>
      </c>
      <c r="B795" s="15">
        <v>16.0</v>
      </c>
      <c r="C795" s="17" t="s">
        <v>531</v>
      </c>
      <c r="D795" s="16" t="s">
        <v>458</v>
      </c>
      <c r="E795" s="15">
        <v>253.0</v>
      </c>
      <c r="F795" s="19">
        <v>0.11922714420358153</v>
      </c>
      <c r="G795" s="15">
        <v>0.0</v>
      </c>
      <c r="H795" s="15">
        <v>0.0</v>
      </c>
      <c r="I795" s="15">
        <v>1736.0</v>
      </c>
      <c r="J795" s="15">
        <v>0.0</v>
      </c>
      <c r="K795" s="15">
        <v>0.0</v>
      </c>
      <c r="L795" s="17"/>
      <c r="M795" s="20" t="s">
        <v>2529</v>
      </c>
    </row>
    <row r="796" ht="15.75" customHeight="1">
      <c r="A796" s="14" t="s">
        <v>114</v>
      </c>
      <c r="B796" s="15">
        <v>17.0</v>
      </c>
      <c r="C796" s="17" t="s">
        <v>535</v>
      </c>
      <c r="D796" s="16" t="s">
        <v>458</v>
      </c>
      <c r="E796" s="15">
        <v>715.0</v>
      </c>
      <c r="F796" s="19">
        <v>0.33694627709707825</v>
      </c>
      <c r="G796" s="15">
        <v>0.0</v>
      </c>
      <c r="H796" s="15">
        <v>0.0</v>
      </c>
      <c r="I796" s="15">
        <v>1299.0</v>
      </c>
      <c r="J796" s="15">
        <v>0.0</v>
      </c>
      <c r="K796" s="15">
        <v>0.0</v>
      </c>
      <c r="L796" s="17"/>
      <c r="M796" s="20" t="s">
        <v>2532</v>
      </c>
    </row>
    <row r="797" ht="15.75" customHeight="1">
      <c r="A797" s="14" t="s">
        <v>114</v>
      </c>
      <c r="B797" s="15">
        <v>18.0</v>
      </c>
      <c r="C797" s="17" t="s">
        <v>540</v>
      </c>
      <c r="D797" s="16" t="s">
        <v>458</v>
      </c>
      <c r="E797" s="15">
        <v>1169.0</v>
      </c>
      <c r="F797" s="19">
        <v>0.5508953817153629</v>
      </c>
      <c r="G797" s="15">
        <v>0.0</v>
      </c>
      <c r="H797" s="15">
        <v>0.0</v>
      </c>
      <c r="I797" s="15">
        <v>863.0</v>
      </c>
      <c r="J797" s="15">
        <v>0.0</v>
      </c>
      <c r="K797" s="15">
        <v>0.0</v>
      </c>
      <c r="L797" s="17"/>
      <c r="M797" s="20" t="s">
        <v>2534</v>
      </c>
    </row>
    <row r="798" ht="15.75" customHeight="1">
      <c r="A798" s="14" t="s">
        <v>114</v>
      </c>
      <c r="B798" s="15">
        <v>19.0</v>
      </c>
      <c r="C798" s="17" t="s">
        <v>414</v>
      </c>
      <c r="D798" s="16" t="s">
        <v>68</v>
      </c>
      <c r="E798" s="15">
        <v>954.0</v>
      </c>
      <c r="F798" s="19">
        <v>0.44957587181903863</v>
      </c>
      <c r="G798" s="15">
        <v>0.0</v>
      </c>
      <c r="H798" s="15">
        <v>0.0</v>
      </c>
      <c r="I798" s="15">
        <v>1077.0</v>
      </c>
      <c r="J798" s="15">
        <v>0.0</v>
      </c>
      <c r="K798" s="15">
        <v>3.0</v>
      </c>
      <c r="L798" s="17"/>
      <c r="M798" s="20" t="s">
        <v>2536</v>
      </c>
    </row>
    <row r="799" ht="15.75" customHeight="1">
      <c r="A799" s="14" t="s">
        <v>114</v>
      </c>
      <c r="B799" s="15">
        <v>20.0</v>
      </c>
      <c r="C799" s="17" t="s">
        <v>1581</v>
      </c>
      <c r="D799" s="16" t="s">
        <v>138</v>
      </c>
      <c r="E799" s="15">
        <v>1083.0</v>
      </c>
      <c r="F799" s="19">
        <v>0.5103675777568332</v>
      </c>
      <c r="G799" s="15">
        <v>0.0</v>
      </c>
      <c r="H799" s="15">
        <v>0.0</v>
      </c>
      <c r="I799" s="15">
        <v>958.0</v>
      </c>
      <c r="J799" s="15">
        <v>0.0</v>
      </c>
      <c r="K799" s="15">
        <v>0.0</v>
      </c>
      <c r="L799" s="17"/>
      <c r="M799" s="20" t="s">
        <v>2538</v>
      </c>
    </row>
    <row r="800" ht="15.75" customHeight="1">
      <c r="A800" s="14" t="s">
        <v>114</v>
      </c>
      <c r="B800" s="15">
        <v>21.0</v>
      </c>
      <c r="C800" s="17" t="s">
        <v>1583</v>
      </c>
      <c r="D800" s="16" t="s">
        <v>138</v>
      </c>
      <c r="E800" s="15">
        <v>1319.0</v>
      </c>
      <c r="F800" s="19">
        <v>0.6215834118755891</v>
      </c>
      <c r="G800" s="15">
        <v>0.0</v>
      </c>
      <c r="H800" s="15">
        <v>0.0</v>
      </c>
      <c r="I800" s="15">
        <v>735.0</v>
      </c>
      <c r="J800" s="15">
        <v>0.0</v>
      </c>
      <c r="K800" s="15">
        <v>0.0</v>
      </c>
      <c r="L800" s="17"/>
      <c r="M800" s="20" t="s">
        <v>2540</v>
      </c>
    </row>
    <row r="801" ht="15.75" customHeight="1">
      <c r="A801" s="14" t="s">
        <v>114</v>
      </c>
      <c r="B801" s="15">
        <v>22.0</v>
      </c>
      <c r="C801" s="17" t="s">
        <v>1585</v>
      </c>
      <c r="D801" s="16" t="s">
        <v>138</v>
      </c>
      <c r="E801" s="15">
        <v>1654.0</v>
      </c>
      <c r="F801" s="19">
        <v>0.7794533459000943</v>
      </c>
      <c r="G801" s="15">
        <v>0.0</v>
      </c>
      <c r="H801" s="15">
        <v>0.0</v>
      </c>
      <c r="I801" s="15">
        <v>427.0</v>
      </c>
      <c r="J801" s="15">
        <v>0.0</v>
      </c>
      <c r="K801" s="15">
        <v>0.0</v>
      </c>
      <c r="L801" s="17"/>
      <c r="M801" s="20" t="s">
        <v>2542</v>
      </c>
    </row>
    <row r="802" ht="15.75" customHeight="1">
      <c r="A802" s="14" t="s">
        <v>114</v>
      </c>
      <c r="B802" s="15">
        <v>23.0</v>
      </c>
      <c r="C802" s="17" t="s">
        <v>2544</v>
      </c>
      <c r="D802" s="16" t="s">
        <v>138</v>
      </c>
      <c r="E802" s="15">
        <v>1080.0</v>
      </c>
      <c r="F802" s="19">
        <v>0.5089538171536286</v>
      </c>
      <c r="G802" s="15">
        <v>0.0</v>
      </c>
      <c r="H802" s="15">
        <v>0.0</v>
      </c>
      <c r="I802" s="15">
        <v>2.0</v>
      </c>
      <c r="J802" s="15">
        <v>0.0</v>
      </c>
      <c r="K802" s="15">
        <v>0.0</v>
      </c>
      <c r="L802" s="17"/>
      <c r="M802" s="20" t="s">
        <v>2525</v>
      </c>
    </row>
    <row r="803" ht="15.75" customHeight="1">
      <c r="A803" s="14" t="s">
        <v>114</v>
      </c>
      <c r="B803" s="15">
        <v>24.0</v>
      </c>
      <c r="C803" s="17" t="s">
        <v>2545</v>
      </c>
      <c r="D803" s="16" t="s">
        <v>138</v>
      </c>
      <c r="E803" s="15">
        <v>1317.0</v>
      </c>
      <c r="F803" s="19">
        <v>0.620640904806786</v>
      </c>
      <c r="G803" s="15">
        <v>0.0</v>
      </c>
      <c r="H803" s="15">
        <v>0.0</v>
      </c>
      <c r="I803" s="15">
        <v>2.0</v>
      </c>
      <c r="J803" s="15">
        <v>0.0</v>
      </c>
      <c r="K803" s="15">
        <v>0.0</v>
      </c>
      <c r="L803" s="17"/>
      <c r="M803" s="20" t="s">
        <v>2525</v>
      </c>
    </row>
    <row r="804" ht="15.75" customHeight="1">
      <c r="A804" s="14" t="s">
        <v>114</v>
      </c>
      <c r="B804" s="15">
        <v>25.0</v>
      </c>
      <c r="C804" s="17" t="s">
        <v>2546</v>
      </c>
      <c r="D804" s="16" t="s">
        <v>138</v>
      </c>
      <c r="E804" s="15">
        <v>1654.0</v>
      </c>
      <c r="F804" s="19">
        <v>0.7794533459000943</v>
      </c>
      <c r="G804" s="15">
        <v>0.0</v>
      </c>
      <c r="H804" s="15">
        <v>0.0</v>
      </c>
      <c r="I804" s="15">
        <v>2.0</v>
      </c>
      <c r="J804" s="15">
        <v>0.0</v>
      </c>
      <c r="K804" s="15">
        <v>0.0</v>
      </c>
      <c r="L804" s="17"/>
      <c r="M804" s="20" t="s">
        <v>2525</v>
      </c>
    </row>
    <row r="805" ht="15.75" customHeight="1">
      <c r="A805" s="14" t="s">
        <v>114</v>
      </c>
      <c r="B805" s="15">
        <v>26.0</v>
      </c>
      <c r="C805" s="17" t="s">
        <v>544</v>
      </c>
      <c r="D805" s="16" t="s">
        <v>458</v>
      </c>
      <c r="E805" s="15">
        <v>1137.0</v>
      </c>
      <c r="F805" s="19">
        <v>0.5358152686145146</v>
      </c>
      <c r="G805" s="15">
        <v>0.0</v>
      </c>
      <c r="H805" s="15">
        <v>0.0</v>
      </c>
      <c r="I805" s="15">
        <v>904.0</v>
      </c>
      <c r="J805" s="15">
        <v>0.0</v>
      </c>
      <c r="K805" s="15">
        <v>0.0</v>
      </c>
      <c r="L805" s="17"/>
      <c r="M805" s="20" t="s">
        <v>2547</v>
      </c>
    </row>
    <row r="806" ht="15.75" customHeight="1">
      <c r="A806" s="14" t="s">
        <v>114</v>
      </c>
      <c r="B806" s="15">
        <v>27.0</v>
      </c>
      <c r="C806" s="17" t="s">
        <v>547</v>
      </c>
      <c r="D806" s="16" t="s">
        <v>458</v>
      </c>
      <c r="E806" s="15">
        <v>1408.0</v>
      </c>
      <c r="F806" s="19">
        <v>0.6635249764373233</v>
      </c>
      <c r="G806" s="15">
        <v>0.0</v>
      </c>
      <c r="H806" s="15">
        <v>0.0</v>
      </c>
      <c r="I806" s="15">
        <v>656.0</v>
      </c>
      <c r="J806" s="15">
        <v>0.0</v>
      </c>
      <c r="K806" s="15">
        <v>0.0</v>
      </c>
      <c r="L806" s="17"/>
      <c r="M806" s="20" t="s">
        <v>2549</v>
      </c>
    </row>
    <row r="807" ht="15.75" customHeight="1">
      <c r="A807" s="14" t="s">
        <v>114</v>
      </c>
      <c r="B807" s="15">
        <v>28.0</v>
      </c>
      <c r="C807" s="17" t="s">
        <v>549</v>
      </c>
      <c r="D807" s="16" t="s">
        <v>458</v>
      </c>
      <c r="E807" s="15">
        <v>1664.0</v>
      </c>
      <c r="F807" s="19">
        <v>0.7841658812441094</v>
      </c>
      <c r="G807" s="15">
        <v>0.0</v>
      </c>
      <c r="H807" s="15">
        <v>0.0</v>
      </c>
      <c r="I807" s="15">
        <v>418.0</v>
      </c>
      <c r="J807" s="15">
        <v>0.0</v>
      </c>
      <c r="K807" s="15">
        <v>0.0</v>
      </c>
      <c r="L807" s="17"/>
      <c r="M807" s="20" t="s">
        <v>2551</v>
      </c>
    </row>
    <row r="808" ht="15.75" customHeight="1">
      <c r="A808" s="14" t="s">
        <v>114</v>
      </c>
      <c r="B808" s="15">
        <v>29.0</v>
      </c>
      <c r="C808" s="17" t="s">
        <v>2553</v>
      </c>
      <c r="D808" s="16" t="s">
        <v>68</v>
      </c>
      <c r="E808" s="15">
        <v>1625.0</v>
      </c>
      <c r="F808" s="19">
        <v>0.7657869934024505</v>
      </c>
      <c r="G808" s="15">
        <v>0.0</v>
      </c>
      <c r="H808" s="15">
        <v>0.0</v>
      </c>
      <c r="I808" s="15">
        <v>447.0</v>
      </c>
      <c r="J808" s="15">
        <v>0.0</v>
      </c>
      <c r="K808" s="15">
        <v>0.0</v>
      </c>
      <c r="L808" s="17"/>
      <c r="M808" s="20" t="s">
        <v>2554</v>
      </c>
    </row>
    <row r="809" ht="15.75" customHeight="1">
      <c r="A809" s="14" t="s">
        <v>114</v>
      </c>
      <c r="B809" s="15">
        <v>30.0</v>
      </c>
      <c r="C809" s="17" t="s">
        <v>1586</v>
      </c>
      <c r="D809" s="16" t="s">
        <v>138</v>
      </c>
      <c r="E809" s="15">
        <v>1712.0</v>
      </c>
      <c r="F809" s="19">
        <v>0.8067860508953817</v>
      </c>
      <c r="G809" s="15">
        <v>0.0</v>
      </c>
      <c r="H809" s="15">
        <v>0.0</v>
      </c>
      <c r="I809" s="15">
        <v>369.0</v>
      </c>
      <c r="J809" s="15">
        <v>0.0</v>
      </c>
      <c r="K809" s="15">
        <v>0.0</v>
      </c>
      <c r="L809" s="17"/>
      <c r="M809" s="20" t="s">
        <v>2556</v>
      </c>
    </row>
    <row r="810" ht="15.75" customHeight="1">
      <c r="A810" s="14" t="s">
        <v>114</v>
      </c>
      <c r="B810" s="15">
        <v>31.0</v>
      </c>
      <c r="C810" s="17" t="s">
        <v>1589</v>
      </c>
      <c r="D810" s="16" t="s">
        <v>138</v>
      </c>
      <c r="E810" s="15">
        <v>1830.0</v>
      </c>
      <c r="F810" s="19">
        <v>0.8623939679547596</v>
      </c>
      <c r="G810" s="15">
        <v>0.0</v>
      </c>
      <c r="H810" s="15">
        <v>0.0</v>
      </c>
      <c r="I810" s="15">
        <v>267.0</v>
      </c>
      <c r="J810" s="15">
        <v>0.0</v>
      </c>
      <c r="K810" s="15">
        <v>0.0</v>
      </c>
      <c r="L810" s="17"/>
      <c r="M810" s="20" t="s">
        <v>2558</v>
      </c>
    </row>
    <row r="811" ht="15.75" customHeight="1">
      <c r="A811" s="14" t="s">
        <v>114</v>
      </c>
      <c r="B811" s="15">
        <v>32.0</v>
      </c>
      <c r="C811" s="17" t="s">
        <v>1592</v>
      </c>
      <c r="D811" s="16" t="s">
        <v>138</v>
      </c>
      <c r="E811" s="15">
        <v>1962.0</v>
      </c>
      <c r="F811" s="19">
        <v>0.9245994344957588</v>
      </c>
      <c r="G811" s="15">
        <v>0.0</v>
      </c>
      <c r="H811" s="15">
        <v>0.0</v>
      </c>
      <c r="I811" s="15">
        <v>150.0</v>
      </c>
      <c r="J811" s="15">
        <v>0.0</v>
      </c>
      <c r="K811" s="15">
        <v>0.0</v>
      </c>
      <c r="L811" s="17"/>
      <c r="M811" s="20" t="s">
        <v>2560</v>
      </c>
    </row>
    <row r="812" ht="15.75" customHeight="1">
      <c r="A812" s="14" t="s">
        <v>114</v>
      </c>
      <c r="B812" s="15">
        <v>33.0</v>
      </c>
      <c r="C812" s="17" t="s">
        <v>2562</v>
      </c>
      <c r="D812" s="16" t="s">
        <v>138</v>
      </c>
      <c r="E812" s="15">
        <v>1712.0</v>
      </c>
      <c r="F812" s="19">
        <v>0.8067860508953817</v>
      </c>
      <c r="G812" s="15">
        <v>0.0</v>
      </c>
      <c r="H812" s="15">
        <v>0.0</v>
      </c>
      <c r="I812" s="15">
        <v>2.0</v>
      </c>
      <c r="J812" s="15">
        <v>0.0</v>
      </c>
      <c r="K812" s="15">
        <v>0.0</v>
      </c>
      <c r="L812" s="17"/>
      <c r="M812" s="20" t="s">
        <v>2528</v>
      </c>
    </row>
    <row r="813" ht="15.75" customHeight="1">
      <c r="A813" s="14" t="s">
        <v>114</v>
      </c>
      <c r="B813" s="15">
        <v>34.0</v>
      </c>
      <c r="C813" s="17" t="s">
        <v>2563</v>
      </c>
      <c r="D813" s="16" t="s">
        <v>138</v>
      </c>
      <c r="E813" s="15">
        <v>1830.0</v>
      </c>
      <c r="F813" s="19">
        <v>0.8623939679547596</v>
      </c>
      <c r="G813" s="15">
        <v>0.0</v>
      </c>
      <c r="H813" s="15">
        <v>0.0</v>
      </c>
      <c r="I813" s="15">
        <v>2.0</v>
      </c>
      <c r="J813" s="15">
        <v>0.0</v>
      </c>
      <c r="K813" s="15">
        <v>0.0</v>
      </c>
      <c r="L813" s="17"/>
      <c r="M813" s="20" t="s">
        <v>2528</v>
      </c>
    </row>
    <row r="814" ht="15.75" customHeight="1">
      <c r="A814" s="14" t="s">
        <v>114</v>
      </c>
      <c r="B814" s="15">
        <v>35.0</v>
      </c>
      <c r="C814" s="17" t="s">
        <v>2564</v>
      </c>
      <c r="D814" s="16" t="s">
        <v>138</v>
      </c>
      <c r="E814" s="15">
        <v>1961.0</v>
      </c>
      <c r="F814" s="19">
        <v>0.9241281809613572</v>
      </c>
      <c r="G814" s="15">
        <v>0.0</v>
      </c>
      <c r="H814" s="15">
        <v>0.0</v>
      </c>
      <c r="I814" s="15">
        <v>2.0</v>
      </c>
      <c r="J814" s="15">
        <v>0.0</v>
      </c>
      <c r="K814" s="15">
        <v>0.0</v>
      </c>
      <c r="L814" s="17"/>
      <c r="M814" s="20" t="s">
        <v>2525</v>
      </c>
    </row>
    <row r="815" ht="15.75" customHeight="1">
      <c r="A815" s="14" t="s">
        <v>114</v>
      </c>
      <c r="B815" s="15">
        <v>36.0</v>
      </c>
      <c r="C815" s="17" t="s">
        <v>552</v>
      </c>
      <c r="D815" s="16" t="s">
        <v>458</v>
      </c>
      <c r="E815" s="15">
        <v>1740.0</v>
      </c>
      <c r="F815" s="19">
        <v>0.8199811498586239</v>
      </c>
      <c r="G815" s="15">
        <v>0.0</v>
      </c>
      <c r="H815" s="15">
        <v>0.0</v>
      </c>
      <c r="I815" s="15">
        <v>338.0</v>
      </c>
      <c r="J815" s="15">
        <v>0.0</v>
      </c>
      <c r="K815" s="15">
        <v>0.0</v>
      </c>
      <c r="L815" s="17"/>
      <c r="M815" s="20" t="s">
        <v>2565</v>
      </c>
    </row>
    <row r="816" ht="15.75" customHeight="1">
      <c r="A816" s="14" t="s">
        <v>114</v>
      </c>
      <c r="B816" s="15">
        <v>37.0</v>
      </c>
      <c r="C816" s="17" t="s">
        <v>554</v>
      </c>
      <c r="D816" s="16" t="s">
        <v>458</v>
      </c>
      <c r="E816" s="15">
        <v>1852.0</v>
      </c>
      <c r="F816" s="19">
        <v>0.8727615457115928</v>
      </c>
      <c r="G816" s="15">
        <v>0.0</v>
      </c>
      <c r="H816" s="15">
        <v>0.0</v>
      </c>
      <c r="I816" s="15">
        <v>238.0</v>
      </c>
      <c r="J816" s="15">
        <v>0.0</v>
      </c>
      <c r="K816" s="15">
        <v>0.0</v>
      </c>
      <c r="L816" s="17"/>
      <c r="M816" s="20" t="s">
        <v>2567</v>
      </c>
    </row>
    <row r="817" ht="15.75" customHeight="1">
      <c r="A817" s="14" t="s">
        <v>114</v>
      </c>
      <c r="B817" s="15">
        <v>38.0</v>
      </c>
      <c r="C817" s="17" t="s">
        <v>556</v>
      </c>
      <c r="D817" s="16" t="s">
        <v>458</v>
      </c>
      <c r="E817" s="15">
        <v>1954.0</v>
      </c>
      <c r="F817" s="19">
        <v>0.9208294062205467</v>
      </c>
      <c r="G817" s="15">
        <v>0.0</v>
      </c>
      <c r="H817" s="15">
        <v>0.0</v>
      </c>
      <c r="I817" s="15">
        <v>151.0</v>
      </c>
      <c r="J817" s="15">
        <v>0.0</v>
      </c>
      <c r="K817" s="15">
        <v>0.0</v>
      </c>
      <c r="L817" s="17"/>
      <c r="M817" s="20" t="s">
        <v>2569</v>
      </c>
    </row>
    <row r="818" ht="15.75" customHeight="1">
      <c r="A818" s="14" t="s">
        <v>114</v>
      </c>
      <c r="B818" s="15">
        <v>39.0</v>
      </c>
      <c r="C818" s="17" t="s">
        <v>2571</v>
      </c>
      <c r="D818" s="16" t="s">
        <v>68</v>
      </c>
      <c r="E818" s="15">
        <v>1853.0</v>
      </c>
      <c r="F818" s="19">
        <v>0.8732327992459944</v>
      </c>
      <c r="G818" s="15">
        <v>0.0</v>
      </c>
      <c r="H818" s="15">
        <v>0.0</v>
      </c>
      <c r="I818" s="15">
        <v>244.0</v>
      </c>
      <c r="J818" s="15">
        <v>0.0</v>
      </c>
      <c r="K818" s="15">
        <v>0.0</v>
      </c>
      <c r="L818" s="17"/>
      <c r="M818" s="20" t="s">
        <v>2572</v>
      </c>
    </row>
    <row r="819" ht="15.75" customHeight="1">
      <c r="A819" s="14" t="s">
        <v>114</v>
      </c>
      <c r="B819" s="15">
        <v>40.0</v>
      </c>
      <c r="C819" s="17" t="s">
        <v>1593</v>
      </c>
      <c r="D819" s="16" t="s">
        <v>138</v>
      </c>
      <c r="E819" s="15">
        <v>1906.0</v>
      </c>
      <c r="F819" s="19">
        <v>0.8982092365692743</v>
      </c>
      <c r="G819" s="15">
        <v>0.0</v>
      </c>
      <c r="H819" s="15">
        <v>0.0</v>
      </c>
      <c r="I819" s="15">
        <v>196.0</v>
      </c>
      <c r="J819" s="15">
        <v>0.0</v>
      </c>
      <c r="K819" s="15">
        <v>0.0</v>
      </c>
      <c r="L819" s="17"/>
      <c r="M819" s="20" t="s">
        <v>2574</v>
      </c>
    </row>
    <row r="820" ht="15.75" customHeight="1">
      <c r="A820" s="14" t="s">
        <v>114</v>
      </c>
      <c r="B820" s="15">
        <v>41.0</v>
      </c>
      <c r="C820" s="17" t="s">
        <v>1596</v>
      </c>
      <c r="D820" s="16" t="s">
        <v>138</v>
      </c>
      <c r="E820" s="15">
        <v>1964.0</v>
      </c>
      <c r="F820" s="19">
        <v>0.9255419415645617</v>
      </c>
      <c r="G820" s="15">
        <v>0.0</v>
      </c>
      <c r="H820" s="15">
        <v>0.0</v>
      </c>
      <c r="I820" s="15">
        <v>142.0</v>
      </c>
      <c r="J820" s="15">
        <v>0.0</v>
      </c>
      <c r="K820" s="15">
        <v>0.0</v>
      </c>
      <c r="L820" s="17"/>
      <c r="M820" s="20" t="s">
        <v>2576</v>
      </c>
    </row>
    <row r="821" ht="15.75" customHeight="1">
      <c r="A821" s="14" t="s">
        <v>114</v>
      </c>
      <c r="B821" s="15">
        <v>42.0</v>
      </c>
      <c r="C821" s="17" t="s">
        <v>1599</v>
      </c>
      <c r="D821" s="16" t="s">
        <v>138</v>
      </c>
      <c r="E821" s="15">
        <v>2029.0</v>
      </c>
      <c r="F821" s="19">
        <v>0.9561734213006597</v>
      </c>
      <c r="G821" s="15">
        <v>0.0</v>
      </c>
      <c r="H821" s="15">
        <v>0.0</v>
      </c>
      <c r="I821" s="15">
        <v>85.0</v>
      </c>
      <c r="J821" s="15">
        <v>0.0</v>
      </c>
      <c r="K821" s="15">
        <v>0.0</v>
      </c>
      <c r="L821" s="17"/>
      <c r="M821" s="20" t="s">
        <v>2578</v>
      </c>
    </row>
    <row r="822" ht="15.75" customHeight="1">
      <c r="A822" s="14" t="s">
        <v>114</v>
      </c>
      <c r="B822" s="15">
        <v>43.0</v>
      </c>
      <c r="C822" s="17" t="s">
        <v>2580</v>
      </c>
      <c r="D822" s="16" t="s">
        <v>138</v>
      </c>
      <c r="E822" s="15">
        <v>1906.0</v>
      </c>
      <c r="F822" s="19">
        <v>0.8982092365692743</v>
      </c>
      <c r="G822" s="15">
        <v>0.0</v>
      </c>
      <c r="H822" s="15">
        <v>0.0</v>
      </c>
      <c r="I822" s="15">
        <v>2.0</v>
      </c>
      <c r="J822" s="15">
        <v>0.0</v>
      </c>
      <c r="K822" s="15">
        <v>0.0</v>
      </c>
      <c r="L822" s="17"/>
      <c r="M822" s="20" t="s">
        <v>2525</v>
      </c>
    </row>
    <row r="823" ht="15.75" customHeight="1">
      <c r="A823" s="14" t="s">
        <v>114</v>
      </c>
      <c r="B823" s="15">
        <v>44.0</v>
      </c>
      <c r="C823" s="17" t="s">
        <v>2581</v>
      </c>
      <c r="D823" s="16" t="s">
        <v>138</v>
      </c>
      <c r="E823" s="15">
        <v>1964.0</v>
      </c>
      <c r="F823" s="19">
        <v>0.9255419415645617</v>
      </c>
      <c r="G823" s="15">
        <v>0.0</v>
      </c>
      <c r="H823" s="15">
        <v>0.0</v>
      </c>
      <c r="I823" s="15">
        <v>2.0</v>
      </c>
      <c r="J823" s="15">
        <v>0.0</v>
      </c>
      <c r="K823" s="15">
        <v>0.0</v>
      </c>
      <c r="L823" s="17"/>
      <c r="M823" s="20" t="s">
        <v>2528</v>
      </c>
    </row>
    <row r="824" ht="15.75" customHeight="1">
      <c r="A824" s="14" t="s">
        <v>114</v>
      </c>
      <c r="B824" s="15">
        <v>45.0</v>
      </c>
      <c r="C824" s="17" t="s">
        <v>2582</v>
      </c>
      <c r="D824" s="16" t="s">
        <v>138</v>
      </c>
      <c r="E824" s="15">
        <v>2029.0</v>
      </c>
      <c r="F824" s="19">
        <v>0.9561734213006597</v>
      </c>
      <c r="G824" s="15">
        <v>0.0</v>
      </c>
      <c r="H824" s="15">
        <v>0.0</v>
      </c>
      <c r="I824" s="15">
        <v>2.0</v>
      </c>
      <c r="J824" s="15">
        <v>0.0</v>
      </c>
      <c r="K824" s="15">
        <v>0.0</v>
      </c>
      <c r="L824" s="17"/>
      <c r="M824" s="20" t="s">
        <v>2528</v>
      </c>
    </row>
    <row r="825" ht="15.75" customHeight="1">
      <c r="A825" s="14" t="s">
        <v>114</v>
      </c>
      <c r="B825" s="15">
        <v>46.0</v>
      </c>
      <c r="C825" s="17" t="s">
        <v>558</v>
      </c>
      <c r="D825" s="16" t="s">
        <v>458</v>
      </c>
      <c r="E825" s="15">
        <v>1922.0</v>
      </c>
      <c r="F825" s="19">
        <v>0.9057492931196984</v>
      </c>
      <c r="G825" s="15">
        <v>0.0</v>
      </c>
      <c r="H825" s="15">
        <v>0.0</v>
      </c>
      <c r="I825" s="15">
        <v>180.0</v>
      </c>
      <c r="J825" s="15">
        <v>0.0</v>
      </c>
      <c r="K825" s="15">
        <v>0.0</v>
      </c>
      <c r="L825" s="17"/>
      <c r="M825" s="20" t="s">
        <v>2583</v>
      </c>
    </row>
    <row r="826" ht="15.75" customHeight="1">
      <c r="A826" s="14" t="s">
        <v>114</v>
      </c>
      <c r="B826" s="15">
        <v>47.0</v>
      </c>
      <c r="C826" s="17" t="s">
        <v>560</v>
      </c>
      <c r="D826" s="16" t="s">
        <v>458</v>
      </c>
      <c r="E826" s="15">
        <v>1978.0</v>
      </c>
      <c r="F826" s="19">
        <v>0.9321394910461829</v>
      </c>
      <c r="G826" s="15">
        <v>0.0</v>
      </c>
      <c r="H826" s="15">
        <v>0.0</v>
      </c>
      <c r="I826" s="15">
        <v>127.0</v>
      </c>
      <c r="J826" s="15">
        <v>0.0</v>
      </c>
      <c r="K826" s="15">
        <v>0.0</v>
      </c>
      <c r="L826" s="17"/>
      <c r="M826" s="20" t="s">
        <v>2585</v>
      </c>
    </row>
    <row r="827" ht="15.75" customHeight="1">
      <c r="A827" s="14" t="s">
        <v>114</v>
      </c>
      <c r="B827" s="15">
        <v>48.0</v>
      </c>
      <c r="C827" s="17" t="s">
        <v>562</v>
      </c>
      <c r="D827" s="16" t="s">
        <v>458</v>
      </c>
      <c r="E827" s="15">
        <v>2020.0</v>
      </c>
      <c r="F827" s="19">
        <v>0.9519321394910462</v>
      </c>
      <c r="G827" s="15">
        <v>0.0</v>
      </c>
      <c r="H827" s="15">
        <v>0.0</v>
      </c>
      <c r="I827" s="15">
        <v>90.0</v>
      </c>
      <c r="J827" s="15">
        <v>0.0</v>
      </c>
      <c r="K827" s="15">
        <v>0.0</v>
      </c>
      <c r="L827" s="17"/>
      <c r="M827" s="20" t="s">
        <v>2587</v>
      </c>
    </row>
    <row r="828" ht="15.75" customHeight="1">
      <c r="A828" s="14" t="s">
        <v>114</v>
      </c>
      <c r="B828" s="15">
        <v>49.0</v>
      </c>
      <c r="C828" s="17" t="s">
        <v>2589</v>
      </c>
      <c r="D828" s="16" t="s">
        <v>68</v>
      </c>
      <c r="E828" s="15">
        <v>1969.0</v>
      </c>
      <c r="F828" s="19">
        <v>0.9278982092365693</v>
      </c>
      <c r="G828" s="15">
        <v>0.0</v>
      </c>
      <c r="H828" s="15">
        <v>0.0</v>
      </c>
      <c r="I828" s="15">
        <v>138.0</v>
      </c>
      <c r="J828" s="15">
        <v>0.0</v>
      </c>
      <c r="K828" s="15">
        <v>0.0</v>
      </c>
      <c r="L828" s="17"/>
      <c r="M828" s="20" t="s">
        <v>2590</v>
      </c>
    </row>
    <row r="829" ht="15.75" customHeight="1">
      <c r="A829" s="14" t="s">
        <v>114</v>
      </c>
      <c r="B829" s="15">
        <v>50.0</v>
      </c>
      <c r="C829" s="17" t="s">
        <v>1603</v>
      </c>
      <c r="D829" s="16" t="s">
        <v>138</v>
      </c>
      <c r="E829" s="15">
        <v>2009.0</v>
      </c>
      <c r="F829" s="19">
        <v>0.9467483506126296</v>
      </c>
      <c r="G829" s="15">
        <v>0.0</v>
      </c>
      <c r="H829" s="15">
        <v>0.0</v>
      </c>
      <c r="I829" s="15">
        <v>101.0</v>
      </c>
      <c r="J829" s="15">
        <v>0.0</v>
      </c>
      <c r="K829" s="15">
        <v>0.0</v>
      </c>
      <c r="L829" s="17"/>
      <c r="M829" s="20" t="s">
        <v>2592</v>
      </c>
    </row>
    <row r="830" ht="15.75" customHeight="1">
      <c r="A830" s="14" t="s">
        <v>114</v>
      </c>
      <c r="B830" s="15">
        <v>51.0</v>
      </c>
      <c r="C830" s="17" t="s">
        <v>1606</v>
      </c>
      <c r="D830" s="16" t="s">
        <v>138</v>
      </c>
      <c r="E830" s="15">
        <v>2033.0</v>
      </c>
      <c r="F830" s="19">
        <v>0.9580584354382657</v>
      </c>
      <c r="G830" s="15">
        <v>0.0</v>
      </c>
      <c r="H830" s="15">
        <v>0.0</v>
      </c>
      <c r="I830" s="15">
        <v>78.0</v>
      </c>
      <c r="J830" s="15">
        <v>0.0</v>
      </c>
      <c r="K830" s="15">
        <v>0.0</v>
      </c>
      <c r="L830" s="17"/>
      <c r="M830" s="20" t="s">
        <v>2594</v>
      </c>
    </row>
    <row r="831" ht="15.75" customHeight="1">
      <c r="A831" s="14" t="s">
        <v>114</v>
      </c>
      <c r="B831" s="15">
        <v>52.0</v>
      </c>
      <c r="C831" s="17" t="s">
        <v>1608</v>
      </c>
      <c r="D831" s="16" t="s">
        <v>138</v>
      </c>
      <c r="E831" s="15">
        <v>2064.0</v>
      </c>
      <c r="F831" s="19">
        <v>0.9726672950047125</v>
      </c>
      <c r="G831" s="15">
        <v>0.0</v>
      </c>
      <c r="H831" s="15">
        <v>0.0</v>
      </c>
      <c r="I831" s="15">
        <v>52.0</v>
      </c>
      <c r="J831" s="15">
        <v>0.0</v>
      </c>
      <c r="K831" s="15">
        <v>0.0</v>
      </c>
      <c r="L831" s="17"/>
      <c r="M831" s="20" t="s">
        <v>2596</v>
      </c>
    </row>
    <row r="832" ht="15.75" customHeight="1">
      <c r="A832" s="14" t="s">
        <v>114</v>
      </c>
      <c r="B832" s="15">
        <v>53.0</v>
      </c>
      <c r="C832" s="17" t="s">
        <v>2598</v>
      </c>
      <c r="D832" s="16" t="s">
        <v>138</v>
      </c>
      <c r="E832" s="15">
        <v>2009.0</v>
      </c>
      <c r="F832" s="19">
        <v>0.9467483506126296</v>
      </c>
      <c r="G832" s="15">
        <v>0.0</v>
      </c>
      <c r="H832" s="15">
        <v>0.0</v>
      </c>
      <c r="I832" s="15">
        <v>2.0</v>
      </c>
      <c r="J832" s="15">
        <v>0.0</v>
      </c>
      <c r="K832" s="15">
        <v>0.0</v>
      </c>
      <c r="L832" s="17"/>
      <c r="M832" s="20" t="s">
        <v>2528</v>
      </c>
    </row>
    <row r="833" ht="15.75" customHeight="1">
      <c r="A833" s="14" t="s">
        <v>114</v>
      </c>
      <c r="B833" s="15">
        <v>54.0</v>
      </c>
      <c r="C833" s="17" t="s">
        <v>2599</v>
      </c>
      <c r="D833" s="16" t="s">
        <v>138</v>
      </c>
      <c r="E833" s="15">
        <v>2033.0</v>
      </c>
      <c r="F833" s="19">
        <v>0.9580584354382657</v>
      </c>
      <c r="G833" s="15">
        <v>0.0</v>
      </c>
      <c r="H833" s="15">
        <v>0.0</v>
      </c>
      <c r="I833" s="15">
        <v>2.0</v>
      </c>
      <c r="J833" s="15">
        <v>0.0</v>
      </c>
      <c r="K833" s="15">
        <v>0.0</v>
      </c>
      <c r="L833" s="17"/>
      <c r="M833" s="20" t="s">
        <v>2525</v>
      </c>
    </row>
    <row r="834" ht="15.75" customHeight="1">
      <c r="A834" s="14" t="s">
        <v>114</v>
      </c>
      <c r="B834" s="15">
        <v>55.0</v>
      </c>
      <c r="C834" s="17" t="s">
        <v>2600</v>
      </c>
      <c r="D834" s="16" t="s">
        <v>138</v>
      </c>
      <c r="E834" s="15">
        <v>2064.0</v>
      </c>
      <c r="F834" s="19">
        <v>0.9726672950047125</v>
      </c>
      <c r="G834" s="15">
        <v>0.0</v>
      </c>
      <c r="H834" s="15">
        <v>0.0</v>
      </c>
      <c r="I834" s="15">
        <v>2.0</v>
      </c>
      <c r="J834" s="15">
        <v>0.0</v>
      </c>
      <c r="K834" s="15">
        <v>0.0</v>
      </c>
      <c r="L834" s="17"/>
      <c r="M834" s="20" t="s">
        <v>2528</v>
      </c>
    </row>
    <row r="835" ht="15.75" customHeight="1">
      <c r="A835" s="14" t="s">
        <v>114</v>
      </c>
      <c r="B835" s="15">
        <v>56.0</v>
      </c>
      <c r="C835" s="17" t="s">
        <v>563</v>
      </c>
      <c r="D835" s="16" t="s">
        <v>458</v>
      </c>
      <c r="E835" s="15">
        <v>2012.0</v>
      </c>
      <c r="F835" s="19">
        <v>0.9481621112158342</v>
      </c>
      <c r="G835" s="15">
        <v>0.0</v>
      </c>
      <c r="H835" s="15">
        <v>0.0</v>
      </c>
      <c r="I835" s="15">
        <v>102.0</v>
      </c>
      <c r="J835" s="15">
        <v>0.0</v>
      </c>
      <c r="K835" s="15">
        <v>0.0</v>
      </c>
      <c r="L835" s="17"/>
      <c r="M835" s="20" t="s">
        <v>2601</v>
      </c>
    </row>
    <row r="836" ht="15.75" customHeight="1">
      <c r="A836" s="14" t="s">
        <v>114</v>
      </c>
      <c r="B836" s="15">
        <v>57.0</v>
      </c>
      <c r="C836" s="17" t="s">
        <v>566</v>
      </c>
      <c r="D836" s="16" t="s">
        <v>458</v>
      </c>
      <c r="E836" s="15">
        <v>2038.0</v>
      </c>
      <c r="F836" s="19">
        <v>0.9604147031102733</v>
      </c>
      <c r="G836" s="15">
        <v>0.0</v>
      </c>
      <c r="H836" s="15">
        <v>0.0</v>
      </c>
      <c r="I836" s="15">
        <v>79.0</v>
      </c>
      <c r="J836" s="15">
        <v>0.0</v>
      </c>
      <c r="K836" s="15">
        <v>0.0</v>
      </c>
      <c r="L836" s="17"/>
      <c r="M836" s="20" t="s">
        <v>2603</v>
      </c>
    </row>
    <row r="837" ht="15.75" customHeight="1">
      <c r="A837" s="14" t="s">
        <v>114</v>
      </c>
      <c r="B837" s="15">
        <v>58.0</v>
      </c>
      <c r="C837" s="17" t="s">
        <v>567</v>
      </c>
      <c r="D837" s="16" t="s">
        <v>458</v>
      </c>
      <c r="E837" s="15">
        <v>2065.0</v>
      </c>
      <c r="F837" s="19">
        <v>0.9731385485391141</v>
      </c>
      <c r="G837" s="15">
        <v>0.0</v>
      </c>
      <c r="H837" s="15">
        <v>0.0</v>
      </c>
      <c r="I837" s="15">
        <v>53.0</v>
      </c>
      <c r="J837" s="15">
        <v>0.0</v>
      </c>
      <c r="K837" s="15">
        <v>0.0</v>
      </c>
      <c r="L837" s="17"/>
      <c r="M837" s="20" t="s">
        <v>2605</v>
      </c>
    </row>
    <row r="838" ht="15.75" customHeight="1">
      <c r="A838" s="14" t="s">
        <v>114</v>
      </c>
      <c r="B838" s="15">
        <v>59.0</v>
      </c>
      <c r="C838" s="17" t="s">
        <v>1941</v>
      </c>
      <c r="D838" s="16" t="s">
        <v>68</v>
      </c>
      <c r="E838" s="15">
        <v>1465.0</v>
      </c>
      <c r="F838" s="19">
        <v>0.6903864278982093</v>
      </c>
      <c r="G838" s="15">
        <v>0.0</v>
      </c>
      <c r="H838" s="15">
        <v>0.0</v>
      </c>
      <c r="I838" s="15">
        <v>11.0</v>
      </c>
      <c r="J838" s="15">
        <v>0.0</v>
      </c>
      <c r="K838" s="15">
        <v>0.0</v>
      </c>
      <c r="L838" s="17"/>
      <c r="M838" s="20" t="s">
        <v>2607</v>
      </c>
    </row>
    <row r="839" ht="15.75" customHeight="1">
      <c r="A839" s="14" t="s">
        <v>114</v>
      </c>
      <c r="B839" s="15">
        <v>60.0</v>
      </c>
      <c r="C839" s="17" t="s">
        <v>640</v>
      </c>
      <c r="D839" s="16" t="s">
        <v>162</v>
      </c>
      <c r="E839" s="15">
        <v>0.0</v>
      </c>
      <c r="F839" s="19">
        <v>0.0</v>
      </c>
      <c r="G839" s="15">
        <v>0.0</v>
      </c>
      <c r="H839" s="15">
        <v>0.0</v>
      </c>
      <c r="I839" s="15">
        <v>2121.0</v>
      </c>
      <c r="J839" s="15">
        <v>0.0</v>
      </c>
      <c r="K839" s="15">
        <v>0.0</v>
      </c>
      <c r="L839" s="17"/>
      <c r="M839" s="20" t="s">
        <v>2610</v>
      </c>
    </row>
    <row r="840" ht="15.75" customHeight="1">
      <c r="A840" s="14" t="s">
        <v>114</v>
      </c>
      <c r="B840" s="15">
        <v>61.0</v>
      </c>
      <c r="C840" s="17" t="s">
        <v>645</v>
      </c>
      <c r="D840" s="16" t="s">
        <v>162</v>
      </c>
      <c r="E840" s="15">
        <v>0.0</v>
      </c>
      <c r="F840" s="19">
        <v>0.0</v>
      </c>
      <c r="G840" s="15">
        <v>0.0</v>
      </c>
      <c r="H840" s="15">
        <v>0.0</v>
      </c>
      <c r="I840" s="15">
        <v>2120.0</v>
      </c>
      <c r="J840" s="15">
        <v>0.0</v>
      </c>
      <c r="K840" s="15">
        <v>0.0</v>
      </c>
      <c r="L840" s="17"/>
      <c r="M840" s="20" t="s">
        <v>2612</v>
      </c>
    </row>
    <row r="841" ht="15.75" customHeight="1">
      <c r="A841" s="14" t="s">
        <v>114</v>
      </c>
      <c r="B841" s="15">
        <v>62.0</v>
      </c>
      <c r="C841" s="17" t="s">
        <v>362</v>
      </c>
      <c r="D841" s="16" t="s">
        <v>68</v>
      </c>
      <c r="E841" s="15">
        <v>0.0</v>
      </c>
      <c r="F841" s="19">
        <v>0.0</v>
      </c>
      <c r="G841" s="15">
        <v>0.0</v>
      </c>
      <c r="H841" s="15">
        <v>0.0</v>
      </c>
      <c r="I841" s="15">
        <v>2040.0</v>
      </c>
      <c r="J841" s="15">
        <v>136.0</v>
      </c>
      <c r="K841" s="15">
        <v>1505.0</v>
      </c>
      <c r="L841" s="17"/>
      <c r="M841" s="20" t="s">
        <v>2614</v>
      </c>
    </row>
    <row r="842" ht="15.75" customHeight="1">
      <c r="A842" s="14" t="s">
        <v>114</v>
      </c>
      <c r="B842" s="15">
        <v>63.0</v>
      </c>
      <c r="C842" s="17" t="s">
        <v>367</v>
      </c>
      <c r="D842" s="16" t="s">
        <v>68</v>
      </c>
      <c r="E842" s="15">
        <v>1715.0</v>
      </c>
      <c r="F842" s="19">
        <v>0.8081998114985862</v>
      </c>
      <c r="G842" s="15">
        <v>0.0</v>
      </c>
      <c r="H842" s="15">
        <v>0.0</v>
      </c>
      <c r="I842" s="15">
        <v>389.0</v>
      </c>
      <c r="J842" s="15">
        <v>18.0</v>
      </c>
      <c r="K842" s="15">
        <v>75.0</v>
      </c>
      <c r="L842" s="17"/>
      <c r="M842" s="20" t="s">
        <v>2617</v>
      </c>
    </row>
    <row r="843" ht="15.75" customHeight="1">
      <c r="A843" s="14" t="s">
        <v>114</v>
      </c>
      <c r="B843" s="15">
        <v>64.0</v>
      </c>
      <c r="C843" s="17" t="s">
        <v>2618</v>
      </c>
      <c r="D843" s="16" t="s">
        <v>68</v>
      </c>
      <c r="E843" s="15">
        <v>1414.0</v>
      </c>
      <c r="F843" s="19">
        <v>0.6663524976437323</v>
      </c>
      <c r="G843" s="15">
        <v>0.0</v>
      </c>
      <c r="H843" s="15">
        <v>0.0</v>
      </c>
      <c r="I843" s="15">
        <v>15.0</v>
      </c>
      <c r="J843" s="15">
        <v>0.0</v>
      </c>
      <c r="K843" s="15">
        <v>0.0</v>
      </c>
      <c r="L843" s="17"/>
      <c r="M843" s="20" t="s">
        <v>2619</v>
      </c>
    </row>
    <row r="844" ht="15.75" customHeight="1">
      <c r="A844" s="14" t="s">
        <v>114</v>
      </c>
      <c r="B844" s="15">
        <v>65.0</v>
      </c>
      <c r="C844" s="17" t="s">
        <v>652</v>
      </c>
      <c r="D844" s="16" t="s">
        <v>68</v>
      </c>
      <c r="E844" s="15">
        <v>1571.0</v>
      </c>
      <c r="F844" s="19">
        <v>0.7403393025447691</v>
      </c>
      <c r="G844" s="15">
        <v>0.0</v>
      </c>
      <c r="H844" s="15">
        <v>0.0</v>
      </c>
      <c r="I844" s="15">
        <v>7.0</v>
      </c>
      <c r="J844" s="15">
        <v>0.0</v>
      </c>
      <c r="K844" s="15">
        <v>0.0</v>
      </c>
      <c r="L844" s="17"/>
      <c r="M844" s="20" t="s">
        <v>2622</v>
      </c>
    </row>
    <row r="845" ht="15.75" customHeight="1">
      <c r="A845" s="21" t="s">
        <v>114</v>
      </c>
      <c r="B845" s="25">
        <v>66.0</v>
      </c>
      <c r="C845" s="22" t="s">
        <v>673</v>
      </c>
      <c r="D845" s="24" t="s">
        <v>68</v>
      </c>
      <c r="E845" s="25">
        <v>975.0</v>
      </c>
      <c r="F845" s="55">
        <v>0.4594721960414703</v>
      </c>
      <c r="G845" s="25">
        <v>0.0</v>
      </c>
      <c r="H845" s="25">
        <v>0.0</v>
      </c>
      <c r="I845" s="25">
        <v>12.0</v>
      </c>
      <c r="J845" s="25">
        <v>0.0</v>
      </c>
      <c r="K845" s="25">
        <v>0.0</v>
      </c>
      <c r="L845" s="22"/>
      <c r="M845" s="26" t="s">
        <v>2624</v>
      </c>
    </row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5D1E13F-AD72-4142-B0AA-121DE62687CA}" filter="1" showAutoFilter="1">
      <autoFilter ref="$A$4:$M$845"/>
    </customSheetView>
  </customSheetViews>
  <mergeCells count="2">
    <mergeCell ref="A1:M1"/>
    <mergeCell ref="A2:M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10.0"/>
    <col customWidth="1" min="3" max="3" width="31.0"/>
    <col customWidth="1" min="4" max="4" width="38.0"/>
    <col customWidth="1" min="5" max="5" width="36.0"/>
    <col customWidth="1" min="6" max="6" width="17.0"/>
    <col customWidth="1" min="7" max="7" width="20.0"/>
    <col customWidth="1" min="8" max="8" width="48.0"/>
    <col customWidth="1" min="9" max="9" width="12.0"/>
    <col customWidth="1" min="10" max="10" width="36.0"/>
    <col customWidth="1" min="11" max="11" width="44.0"/>
    <col customWidth="1" min="12" max="26" width="8.63"/>
  </cols>
  <sheetData>
    <row r="1" ht="31.5" customHeight="1">
      <c r="A1" s="1" t="s">
        <v>0</v>
      </c>
    </row>
    <row r="2" ht="33.75" customHeight="1">
      <c r="A2" s="2" t="s">
        <v>4</v>
      </c>
    </row>
    <row r="4" ht="30.0" customHeight="1">
      <c r="A4" s="3" t="s">
        <v>9</v>
      </c>
      <c r="B4" s="4" t="s">
        <v>13</v>
      </c>
      <c r="C4" s="3" t="s">
        <v>17</v>
      </c>
      <c r="D4" s="3" t="s">
        <v>20</v>
      </c>
      <c r="E4" s="3" t="s">
        <v>23</v>
      </c>
      <c r="F4" s="3" t="s">
        <v>27</v>
      </c>
      <c r="G4" s="3" t="s">
        <v>30</v>
      </c>
      <c r="H4" s="3" t="s">
        <v>33</v>
      </c>
      <c r="I4" s="3" t="s">
        <v>35</v>
      </c>
      <c r="J4" s="3" t="s">
        <v>38</v>
      </c>
      <c r="K4" s="3" t="s">
        <v>41</v>
      </c>
    </row>
    <row r="5">
      <c r="A5" s="7" t="s">
        <v>46</v>
      </c>
      <c r="B5" s="9">
        <v>1.0</v>
      </c>
      <c r="C5" s="10" t="s">
        <v>60</v>
      </c>
      <c r="D5" s="10" t="s">
        <v>61</v>
      </c>
      <c r="E5" s="10" t="s">
        <v>63</v>
      </c>
      <c r="F5" s="8" t="s">
        <v>68</v>
      </c>
      <c r="G5" s="8" t="s">
        <v>72</v>
      </c>
      <c r="H5" s="10" t="s">
        <v>73</v>
      </c>
      <c r="I5" s="8" t="s">
        <v>74</v>
      </c>
      <c r="J5" s="10" t="s">
        <v>76</v>
      </c>
      <c r="K5" s="12"/>
    </row>
    <row r="6">
      <c r="A6" s="14" t="s">
        <v>46</v>
      </c>
      <c r="B6" s="15">
        <v>2.0</v>
      </c>
      <c r="C6" s="17" t="s">
        <v>81</v>
      </c>
      <c r="D6" s="17" t="s">
        <v>84</v>
      </c>
      <c r="E6" s="17" t="s">
        <v>85</v>
      </c>
      <c r="F6" s="16" t="s">
        <v>68</v>
      </c>
      <c r="G6" s="16" t="s">
        <v>87</v>
      </c>
      <c r="H6" s="17" t="s">
        <v>89</v>
      </c>
      <c r="I6" s="16" t="s">
        <v>74</v>
      </c>
      <c r="J6" s="17" t="s">
        <v>76</v>
      </c>
      <c r="K6" s="20"/>
    </row>
    <row r="7">
      <c r="A7" s="14" t="s">
        <v>46</v>
      </c>
      <c r="B7" s="15">
        <v>3.0</v>
      </c>
      <c r="C7" s="17" t="s">
        <v>95</v>
      </c>
      <c r="D7" s="17" t="s">
        <v>96</v>
      </c>
      <c r="E7" s="17" t="s">
        <v>100</v>
      </c>
      <c r="F7" s="16" t="s">
        <v>68</v>
      </c>
      <c r="G7" s="16" t="s">
        <v>87</v>
      </c>
      <c r="H7" s="17" t="s">
        <v>104</v>
      </c>
      <c r="I7" s="16" t="s">
        <v>74</v>
      </c>
      <c r="J7" s="17" t="s">
        <v>76</v>
      </c>
      <c r="K7" s="20"/>
    </row>
    <row r="8">
      <c r="A8" s="14" t="s">
        <v>46</v>
      </c>
      <c r="B8" s="15">
        <v>4.0</v>
      </c>
      <c r="C8" s="17" t="s">
        <v>113</v>
      </c>
      <c r="D8" s="17" t="s">
        <v>115</v>
      </c>
      <c r="E8" s="17" t="s">
        <v>117</v>
      </c>
      <c r="F8" s="16" t="s">
        <v>68</v>
      </c>
      <c r="G8" s="16" t="s">
        <v>87</v>
      </c>
      <c r="H8" s="17" t="s">
        <v>121</v>
      </c>
      <c r="I8" s="16" t="s">
        <v>74</v>
      </c>
      <c r="J8" s="17" t="s">
        <v>76</v>
      </c>
      <c r="K8" s="20"/>
    </row>
    <row r="9">
      <c r="A9" s="14" t="s">
        <v>46</v>
      </c>
      <c r="B9" s="15">
        <v>5.0</v>
      </c>
      <c r="C9" s="17" t="s">
        <v>126</v>
      </c>
      <c r="D9" s="17" t="s">
        <v>127</v>
      </c>
      <c r="E9" s="17" t="s">
        <v>129</v>
      </c>
      <c r="F9" s="16" t="s">
        <v>68</v>
      </c>
      <c r="G9" s="16" t="s">
        <v>87</v>
      </c>
      <c r="H9" s="17" t="s">
        <v>132</v>
      </c>
      <c r="I9" s="16" t="s">
        <v>74</v>
      </c>
      <c r="J9" s="17" t="s">
        <v>76</v>
      </c>
      <c r="K9" s="20"/>
    </row>
    <row r="10">
      <c r="A10" s="14" t="s">
        <v>46</v>
      </c>
      <c r="B10" s="15">
        <v>6.0</v>
      </c>
      <c r="C10" s="17" t="s">
        <v>141</v>
      </c>
      <c r="D10" s="17" t="s">
        <v>143</v>
      </c>
      <c r="E10" s="17" t="s">
        <v>144</v>
      </c>
      <c r="F10" s="16" t="s">
        <v>68</v>
      </c>
      <c r="G10" s="16" t="s">
        <v>87</v>
      </c>
      <c r="H10" s="17" t="s">
        <v>147</v>
      </c>
      <c r="I10" s="16" t="s">
        <v>74</v>
      </c>
      <c r="J10" s="17" t="s">
        <v>76</v>
      </c>
      <c r="K10" s="20"/>
    </row>
    <row r="11">
      <c r="A11" s="14" t="s">
        <v>46</v>
      </c>
      <c r="B11" s="15">
        <v>7.0</v>
      </c>
      <c r="C11" s="17" t="s">
        <v>151</v>
      </c>
      <c r="D11" s="17" t="s">
        <v>153</v>
      </c>
      <c r="E11" s="17" t="s">
        <v>154</v>
      </c>
      <c r="F11" s="16" t="s">
        <v>68</v>
      </c>
      <c r="G11" s="16" t="s">
        <v>87</v>
      </c>
      <c r="H11" s="17" t="s">
        <v>156</v>
      </c>
      <c r="I11" s="16" t="s">
        <v>74</v>
      </c>
      <c r="J11" s="17" t="s">
        <v>76</v>
      </c>
      <c r="K11" s="20"/>
    </row>
    <row r="12">
      <c r="A12" s="14" t="s">
        <v>46</v>
      </c>
      <c r="B12" s="15">
        <v>8.0</v>
      </c>
      <c r="C12" s="17" t="s">
        <v>158</v>
      </c>
      <c r="D12" s="17" t="s">
        <v>160</v>
      </c>
      <c r="E12" s="17" t="s">
        <v>161</v>
      </c>
      <c r="F12" s="16" t="s">
        <v>162</v>
      </c>
      <c r="G12" s="16" t="s">
        <v>87</v>
      </c>
      <c r="H12" s="17" t="s">
        <v>163</v>
      </c>
      <c r="I12" s="16" t="s">
        <v>74</v>
      </c>
      <c r="J12" s="17" t="s">
        <v>76</v>
      </c>
      <c r="K12" s="20"/>
    </row>
    <row r="13">
      <c r="A13" s="14" t="s">
        <v>46</v>
      </c>
      <c r="B13" s="15">
        <v>9.0</v>
      </c>
      <c r="C13" s="17" t="s">
        <v>171</v>
      </c>
      <c r="D13" s="17" t="s">
        <v>173</v>
      </c>
      <c r="E13" s="17" t="s">
        <v>174</v>
      </c>
      <c r="F13" s="16" t="s">
        <v>162</v>
      </c>
      <c r="G13" s="16" t="s">
        <v>87</v>
      </c>
      <c r="H13" s="17" t="s">
        <v>163</v>
      </c>
      <c r="I13" s="16" t="s">
        <v>74</v>
      </c>
      <c r="J13" s="17" t="s">
        <v>76</v>
      </c>
      <c r="K13" s="20"/>
    </row>
    <row r="14">
      <c r="A14" s="14" t="s">
        <v>46</v>
      </c>
      <c r="B14" s="15">
        <v>10.0</v>
      </c>
      <c r="C14" s="17" t="s">
        <v>178</v>
      </c>
      <c r="D14" s="17" t="s">
        <v>179</v>
      </c>
      <c r="E14" s="17" t="s">
        <v>180</v>
      </c>
      <c r="F14" s="16" t="s">
        <v>181</v>
      </c>
      <c r="G14" s="16" t="s">
        <v>87</v>
      </c>
      <c r="H14" s="17" t="s">
        <v>182</v>
      </c>
      <c r="I14" s="16" t="s">
        <v>74</v>
      </c>
      <c r="J14" s="17" t="s">
        <v>76</v>
      </c>
      <c r="K14" s="20"/>
    </row>
    <row r="15">
      <c r="A15" s="14" t="s">
        <v>46</v>
      </c>
      <c r="B15" s="15">
        <v>11.0</v>
      </c>
      <c r="C15" s="17" t="s">
        <v>185</v>
      </c>
      <c r="D15" s="17" t="s">
        <v>187</v>
      </c>
      <c r="E15" s="17" t="s">
        <v>188</v>
      </c>
      <c r="F15" s="16" t="s">
        <v>162</v>
      </c>
      <c r="G15" s="16" t="s">
        <v>87</v>
      </c>
      <c r="H15" s="17" t="s">
        <v>189</v>
      </c>
      <c r="I15" s="16" t="s">
        <v>74</v>
      </c>
      <c r="J15" s="17" t="s">
        <v>76</v>
      </c>
      <c r="K15" s="20"/>
    </row>
    <row r="16">
      <c r="A16" s="14" t="s">
        <v>46</v>
      </c>
      <c r="B16" s="15">
        <v>12.0</v>
      </c>
      <c r="C16" s="17" t="s">
        <v>191</v>
      </c>
      <c r="D16" s="17" t="s">
        <v>192</v>
      </c>
      <c r="E16" s="17" t="s">
        <v>193</v>
      </c>
      <c r="F16" s="16" t="s">
        <v>68</v>
      </c>
      <c r="G16" s="16" t="s">
        <v>87</v>
      </c>
      <c r="H16" s="17" t="s">
        <v>195</v>
      </c>
      <c r="I16" s="16" t="s">
        <v>74</v>
      </c>
      <c r="J16" s="17" t="s">
        <v>76</v>
      </c>
      <c r="K16" s="20"/>
    </row>
    <row r="17">
      <c r="A17" s="14" t="s">
        <v>46</v>
      </c>
      <c r="B17" s="15">
        <v>13.0</v>
      </c>
      <c r="C17" s="17" t="s">
        <v>198</v>
      </c>
      <c r="D17" s="17" t="s">
        <v>200</v>
      </c>
      <c r="E17" s="17" t="s">
        <v>202</v>
      </c>
      <c r="F17" s="16" t="s">
        <v>162</v>
      </c>
      <c r="G17" s="16" t="s">
        <v>87</v>
      </c>
      <c r="H17" s="17" t="s">
        <v>204</v>
      </c>
      <c r="I17" s="16" t="s">
        <v>74</v>
      </c>
      <c r="J17" s="17" t="s">
        <v>76</v>
      </c>
      <c r="K17" s="20"/>
    </row>
    <row r="18">
      <c r="A18" s="14" t="s">
        <v>46</v>
      </c>
      <c r="B18" s="15">
        <v>14.0</v>
      </c>
      <c r="C18" s="17" t="s">
        <v>207</v>
      </c>
      <c r="D18" s="17" t="s">
        <v>209</v>
      </c>
      <c r="E18" s="17" t="s">
        <v>211</v>
      </c>
      <c r="F18" s="16" t="s">
        <v>213</v>
      </c>
      <c r="G18" s="16" t="s">
        <v>87</v>
      </c>
      <c r="H18" s="17" t="s">
        <v>216</v>
      </c>
      <c r="I18" s="16" t="s">
        <v>74</v>
      </c>
      <c r="J18" s="17" t="s">
        <v>76</v>
      </c>
      <c r="K18" s="20"/>
    </row>
    <row r="19">
      <c r="A19" s="14" t="s">
        <v>46</v>
      </c>
      <c r="B19" s="15">
        <v>15.0</v>
      </c>
      <c r="C19" s="17" t="s">
        <v>223</v>
      </c>
      <c r="D19" s="17" t="s">
        <v>225</v>
      </c>
      <c r="E19" s="17" t="s">
        <v>227</v>
      </c>
      <c r="F19" s="16" t="s">
        <v>213</v>
      </c>
      <c r="G19" s="16" t="s">
        <v>87</v>
      </c>
      <c r="H19" s="17" t="s">
        <v>216</v>
      </c>
      <c r="I19" s="16" t="s">
        <v>74</v>
      </c>
      <c r="J19" s="17" t="s">
        <v>76</v>
      </c>
      <c r="K19" s="20"/>
    </row>
    <row r="20">
      <c r="A20" s="14" t="s">
        <v>46</v>
      </c>
      <c r="B20" s="15">
        <v>16.0</v>
      </c>
      <c r="C20" s="17" t="s">
        <v>236</v>
      </c>
      <c r="D20" s="17" t="s">
        <v>237</v>
      </c>
      <c r="E20" s="17" t="s">
        <v>239</v>
      </c>
      <c r="F20" s="16" t="s">
        <v>162</v>
      </c>
      <c r="G20" s="16" t="s">
        <v>87</v>
      </c>
      <c r="H20" s="17" t="s">
        <v>204</v>
      </c>
      <c r="I20" s="16" t="s">
        <v>74</v>
      </c>
      <c r="J20" s="17" t="s">
        <v>76</v>
      </c>
      <c r="K20" s="20"/>
    </row>
    <row r="21" ht="15.75" customHeight="1">
      <c r="A21" s="14" t="s">
        <v>46</v>
      </c>
      <c r="B21" s="15">
        <v>17.0</v>
      </c>
      <c r="C21" s="17" t="s">
        <v>247</v>
      </c>
      <c r="D21" s="17" t="s">
        <v>249</v>
      </c>
      <c r="E21" s="17" t="s">
        <v>251</v>
      </c>
      <c r="F21" s="16" t="s">
        <v>181</v>
      </c>
      <c r="G21" s="16" t="s">
        <v>87</v>
      </c>
      <c r="H21" s="17" t="s">
        <v>253</v>
      </c>
      <c r="I21" s="16" t="s">
        <v>74</v>
      </c>
      <c r="J21" s="17" t="s">
        <v>76</v>
      </c>
      <c r="K21" s="20"/>
    </row>
    <row r="22" ht="15.75" customHeight="1">
      <c r="A22" s="14" t="s">
        <v>46</v>
      </c>
      <c r="B22" s="15">
        <v>18.0</v>
      </c>
      <c r="C22" s="17" t="s">
        <v>259</v>
      </c>
      <c r="D22" s="17" t="s">
        <v>260</v>
      </c>
      <c r="E22" s="17" t="s">
        <v>262</v>
      </c>
      <c r="F22" s="16" t="s">
        <v>181</v>
      </c>
      <c r="G22" s="16" t="s">
        <v>87</v>
      </c>
      <c r="H22" s="17" t="s">
        <v>265</v>
      </c>
      <c r="I22" s="16" t="s">
        <v>74</v>
      </c>
      <c r="J22" s="17" t="s">
        <v>76</v>
      </c>
      <c r="K22" s="20"/>
    </row>
    <row r="23" ht="15.75" customHeight="1">
      <c r="A23" s="14" t="s">
        <v>46</v>
      </c>
      <c r="B23" s="15">
        <v>19.0</v>
      </c>
      <c r="C23" s="17" t="s">
        <v>270</v>
      </c>
      <c r="D23" s="17" t="s">
        <v>179</v>
      </c>
      <c r="E23" s="17" t="s">
        <v>272</v>
      </c>
      <c r="F23" s="16" t="s">
        <v>181</v>
      </c>
      <c r="G23" s="16" t="s">
        <v>87</v>
      </c>
      <c r="H23" s="17" t="s">
        <v>265</v>
      </c>
      <c r="I23" s="16" t="s">
        <v>74</v>
      </c>
      <c r="J23" s="17" t="s">
        <v>76</v>
      </c>
      <c r="K23" s="20"/>
    </row>
    <row r="24" ht="15.75" customHeight="1">
      <c r="A24" s="14" t="s">
        <v>46</v>
      </c>
      <c r="B24" s="15">
        <v>20.0</v>
      </c>
      <c r="C24" s="17" t="s">
        <v>282</v>
      </c>
      <c r="D24" s="17" t="s">
        <v>283</v>
      </c>
      <c r="E24" s="17" t="s">
        <v>284</v>
      </c>
      <c r="F24" s="16" t="s">
        <v>181</v>
      </c>
      <c r="G24" s="16" t="s">
        <v>87</v>
      </c>
      <c r="H24" s="17" t="s">
        <v>265</v>
      </c>
      <c r="I24" s="16" t="s">
        <v>74</v>
      </c>
      <c r="J24" s="17" t="s">
        <v>76</v>
      </c>
      <c r="K24" s="20"/>
    </row>
    <row r="25" ht="15.75" customHeight="1">
      <c r="A25" s="14" t="s">
        <v>46</v>
      </c>
      <c r="B25" s="15">
        <v>21.0</v>
      </c>
      <c r="C25" s="17" t="s">
        <v>294</v>
      </c>
      <c r="D25" s="17" t="s">
        <v>296</v>
      </c>
      <c r="E25" s="17" t="s">
        <v>299</v>
      </c>
      <c r="F25" s="16" t="s">
        <v>181</v>
      </c>
      <c r="G25" s="16" t="s">
        <v>87</v>
      </c>
      <c r="H25" s="17" t="s">
        <v>265</v>
      </c>
      <c r="I25" s="16" t="s">
        <v>74</v>
      </c>
      <c r="J25" s="17" t="s">
        <v>76</v>
      </c>
      <c r="K25" s="20"/>
    </row>
    <row r="26" ht="15.75" customHeight="1">
      <c r="A26" s="14" t="s">
        <v>46</v>
      </c>
      <c r="B26" s="15">
        <v>22.0</v>
      </c>
      <c r="C26" s="17" t="s">
        <v>308</v>
      </c>
      <c r="D26" s="17" t="s">
        <v>310</v>
      </c>
      <c r="E26" s="17" t="s">
        <v>312</v>
      </c>
      <c r="F26" s="16" t="s">
        <v>181</v>
      </c>
      <c r="G26" s="16" t="s">
        <v>87</v>
      </c>
      <c r="H26" s="17" t="s">
        <v>314</v>
      </c>
      <c r="I26" s="16" t="s">
        <v>74</v>
      </c>
      <c r="J26" s="17" t="s">
        <v>76</v>
      </c>
      <c r="K26" s="20"/>
    </row>
    <row r="27" ht="15.75" customHeight="1">
      <c r="A27" s="14" t="s">
        <v>46</v>
      </c>
      <c r="B27" s="15">
        <v>23.0</v>
      </c>
      <c r="C27" s="17" t="s">
        <v>319</v>
      </c>
      <c r="D27" s="17" t="s">
        <v>320</v>
      </c>
      <c r="E27" s="17" t="s">
        <v>323</v>
      </c>
      <c r="F27" s="16" t="s">
        <v>68</v>
      </c>
      <c r="G27" s="16" t="s">
        <v>72</v>
      </c>
      <c r="H27" s="17" t="s">
        <v>326</v>
      </c>
      <c r="I27" s="16" t="s">
        <v>74</v>
      </c>
      <c r="J27" s="17" t="s">
        <v>76</v>
      </c>
      <c r="K27" s="20"/>
    </row>
    <row r="28" ht="15.75" customHeight="1">
      <c r="A28" s="14" t="s">
        <v>46</v>
      </c>
      <c r="B28" s="15">
        <v>24.0</v>
      </c>
      <c r="C28" s="17" t="s">
        <v>329</v>
      </c>
      <c r="D28" s="17"/>
      <c r="E28" s="17" t="s">
        <v>331</v>
      </c>
      <c r="F28" s="16" t="s">
        <v>68</v>
      </c>
      <c r="G28" s="16" t="s">
        <v>72</v>
      </c>
      <c r="H28" s="17" t="s">
        <v>335</v>
      </c>
      <c r="I28" s="16" t="s">
        <v>74</v>
      </c>
      <c r="J28" s="17" t="s">
        <v>76</v>
      </c>
      <c r="K28" s="20"/>
    </row>
    <row r="29" ht="15.75" customHeight="1">
      <c r="A29" s="14" t="s">
        <v>46</v>
      </c>
      <c r="B29" s="15">
        <v>25.0</v>
      </c>
      <c r="C29" s="17" t="s">
        <v>339</v>
      </c>
      <c r="D29" s="17"/>
      <c r="E29" s="17" t="s">
        <v>342</v>
      </c>
      <c r="F29" s="16" t="s">
        <v>68</v>
      </c>
      <c r="G29" s="16" t="s">
        <v>72</v>
      </c>
      <c r="H29" s="17" t="s">
        <v>346</v>
      </c>
      <c r="I29" s="16" t="s">
        <v>74</v>
      </c>
      <c r="J29" s="17" t="s">
        <v>76</v>
      </c>
      <c r="K29" s="20"/>
    </row>
    <row r="30" ht="15.75" customHeight="1">
      <c r="A30" s="14" t="s">
        <v>46</v>
      </c>
      <c r="B30" s="15">
        <v>26.0</v>
      </c>
      <c r="C30" s="17" t="s">
        <v>349</v>
      </c>
      <c r="D30" s="17" t="s">
        <v>350</v>
      </c>
      <c r="E30" s="17" t="s">
        <v>351</v>
      </c>
      <c r="F30" s="16" t="s">
        <v>213</v>
      </c>
      <c r="G30" s="16" t="s">
        <v>72</v>
      </c>
      <c r="H30" s="17" t="s">
        <v>352</v>
      </c>
      <c r="I30" s="16" t="s">
        <v>74</v>
      </c>
      <c r="J30" s="17" t="s">
        <v>76</v>
      </c>
      <c r="K30" s="20"/>
    </row>
    <row r="31" ht="15.75" customHeight="1">
      <c r="A31" s="14" t="s">
        <v>46</v>
      </c>
      <c r="B31" s="15">
        <v>27.0</v>
      </c>
      <c r="C31" s="17" t="s">
        <v>354</v>
      </c>
      <c r="D31" s="17" t="s">
        <v>355</v>
      </c>
      <c r="E31" s="17" t="s">
        <v>356</v>
      </c>
      <c r="F31" s="16" t="s">
        <v>357</v>
      </c>
      <c r="G31" s="16" t="s">
        <v>72</v>
      </c>
      <c r="H31" s="17" t="s">
        <v>358</v>
      </c>
      <c r="I31" s="16" t="s">
        <v>74</v>
      </c>
      <c r="J31" s="17" t="s">
        <v>360</v>
      </c>
      <c r="K31" s="20"/>
    </row>
    <row r="32" ht="15.75" customHeight="1">
      <c r="A32" s="14" t="s">
        <v>46</v>
      </c>
      <c r="B32" s="15">
        <v>28.0</v>
      </c>
      <c r="C32" s="17" t="s">
        <v>363</v>
      </c>
      <c r="D32" s="17" t="s">
        <v>364</v>
      </c>
      <c r="E32" s="17" t="s">
        <v>365</v>
      </c>
      <c r="F32" s="16" t="s">
        <v>181</v>
      </c>
      <c r="G32" s="16" t="s">
        <v>72</v>
      </c>
      <c r="H32" s="17" t="s">
        <v>265</v>
      </c>
      <c r="I32" s="16" t="s">
        <v>74</v>
      </c>
      <c r="J32" s="17" t="s">
        <v>366</v>
      </c>
      <c r="K32" s="20"/>
    </row>
    <row r="33" ht="15.75" customHeight="1">
      <c r="A33" s="14" t="s">
        <v>46</v>
      </c>
      <c r="B33" s="15">
        <v>29.0</v>
      </c>
      <c r="C33" s="17" t="s">
        <v>348</v>
      </c>
      <c r="D33" s="17" t="s">
        <v>368</v>
      </c>
      <c r="E33" s="17" t="s">
        <v>369</v>
      </c>
      <c r="F33" s="16" t="s">
        <v>68</v>
      </c>
      <c r="G33" s="16" t="s">
        <v>371</v>
      </c>
      <c r="H33" s="17" t="s">
        <v>372</v>
      </c>
      <c r="I33" s="16" t="s">
        <v>74</v>
      </c>
      <c r="J33" s="17" t="s">
        <v>373</v>
      </c>
      <c r="K33" s="20" t="s">
        <v>374</v>
      </c>
    </row>
    <row r="34" ht="15.75" customHeight="1">
      <c r="A34" s="14" t="s">
        <v>46</v>
      </c>
      <c r="B34" s="15">
        <v>30.0</v>
      </c>
      <c r="C34" s="17" t="s">
        <v>321</v>
      </c>
      <c r="D34" s="17" t="s">
        <v>376</v>
      </c>
      <c r="E34" s="17" t="s">
        <v>377</v>
      </c>
      <c r="F34" s="16" t="s">
        <v>213</v>
      </c>
      <c r="G34" s="16" t="s">
        <v>371</v>
      </c>
      <c r="H34" s="17" t="s">
        <v>378</v>
      </c>
      <c r="I34" s="16" t="s">
        <v>380</v>
      </c>
      <c r="J34" s="17" t="s">
        <v>381</v>
      </c>
      <c r="K34" s="20" t="s">
        <v>382</v>
      </c>
    </row>
    <row r="35" ht="15.75" customHeight="1">
      <c r="A35" s="14" t="s">
        <v>46</v>
      </c>
      <c r="B35" s="15">
        <v>31.0</v>
      </c>
      <c r="C35" s="17" t="s">
        <v>383</v>
      </c>
      <c r="D35" s="17" t="s">
        <v>385</v>
      </c>
      <c r="E35" s="17" t="s">
        <v>386</v>
      </c>
      <c r="F35" s="16" t="s">
        <v>68</v>
      </c>
      <c r="G35" s="16" t="s">
        <v>371</v>
      </c>
      <c r="H35" s="17" t="s">
        <v>387</v>
      </c>
      <c r="I35" s="16" t="s">
        <v>74</v>
      </c>
      <c r="J35" s="17" t="s">
        <v>388</v>
      </c>
      <c r="K35" s="20"/>
    </row>
    <row r="36" ht="15.75" customHeight="1">
      <c r="A36" s="14" t="s">
        <v>46</v>
      </c>
      <c r="B36" s="15">
        <v>32.0</v>
      </c>
      <c r="C36" s="17" t="s">
        <v>390</v>
      </c>
      <c r="D36" s="17" t="s">
        <v>391</v>
      </c>
      <c r="E36" s="17" t="s">
        <v>392</v>
      </c>
      <c r="F36" s="16" t="s">
        <v>68</v>
      </c>
      <c r="G36" s="16" t="s">
        <v>371</v>
      </c>
      <c r="H36" s="17" t="s">
        <v>394</v>
      </c>
      <c r="I36" s="16" t="s">
        <v>74</v>
      </c>
      <c r="J36" s="17" t="s">
        <v>395</v>
      </c>
      <c r="K36" s="20"/>
    </row>
    <row r="37" ht="15.75" customHeight="1">
      <c r="A37" s="14" t="s">
        <v>46</v>
      </c>
      <c r="B37" s="15">
        <v>33.0</v>
      </c>
      <c r="C37" s="17" t="s">
        <v>397</v>
      </c>
      <c r="D37" s="17" t="s">
        <v>398</v>
      </c>
      <c r="E37" s="17" t="s">
        <v>399</v>
      </c>
      <c r="F37" s="16" t="s">
        <v>357</v>
      </c>
      <c r="G37" s="16" t="s">
        <v>371</v>
      </c>
      <c r="H37" s="17" t="s">
        <v>401</v>
      </c>
      <c r="I37" s="16" t="s">
        <v>74</v>
      </c>
      <c r="J37" s="17" t="s">
        <v>402</v>
      </c>
      <c r="K37" s="20" t="s">
        <v>403</v>
      </c>
    </row>
    <row r="38" ht="15.75" customHeight="1">
      <c r="A38" s="14" t="s">
        <v>46</v>
      </c>
      <c r="B38" s="15">
        <v>34.0</v>
      </c>
      <c r="C38" s="17" t="s">
        <v>405</v>
      </c>
      <c r="D38" s="17" t="s">
        <v>406</v>
      </c>
      <c r="E38" s="17" t="s">
        <v>386</v>
      </c>
      <c r="F38" s="16" t="s">
        <v>68</v>
      </c>
      <c r="G38" s="16" t="s">
        <v>371</v>
      </c>
      <c r="H38" s="17" t="s">
        <v>387</v>
      </c>
      <c r="I38" s="16" t="s">
        <v>74</v>
      </c>
      <c r="J38" s="17" t="s">
        <v>388</v>
      </c>
      <c r="K38" s="20"/>
    </row>
    <row r="39" ht="15.75" customHeight="1">
      <c r="A39" s="14" t="s">
        <v>46</v>
      </c>
      <c r="B39" s="15">
        <v>35.0</v>
      </c>
      <c r="C39" s="17" t="s">
        <v>408</v>
      </c>
      <c r="D39" s="17" t="s">
        <v>391</v>
      </c>
      <c r="E39" s="17" t="s">
        <v>392</v>
      </c>
      <c r="F39" s="16" t="s">
        <v>68</v>
      </c>
      <c r="G39" s="16" t="s">
        <v>371</v>
      </c>
      <c r="H39" s="17" t="s">
        <v>394</v>
      </c>
      <c r="I39" s="16" t="s">
        <v>74</v>
      </c>
      <c r="J39" s="17" t="s">
        <v>395</v>
      </c>
      <c r="K39" s="20"/>
    </row>
    <row r="40" ht="15.75" customHeight="1">
      <c r="A40" s="14" t="s">
        <v>46</v>
      </c>
      <c r="B40" s="15">
        <v>36.0</v>
      </c>
      <c r="C40" s="17" t="s">
        <v>410</v>
      </c>
      <c r="D40" s="17" t="s">
        <v>398</v>
      </c>
      <c r="E40" s="17" t="s">
        <v>399</v>
      </c>
      <c r="F40" s="16" t="s">
        <v>357</v>
      </c>
      <c r="G40" s="16" t="s">
        <v>371</v>
      </c>
      <c r="H40" s="17" t="s">
        <v>401</v>
      </c>
      <c r="I40" s="16" t="s">
        <v>74</v>
      </c>
      <c r="J40" s="17" t="s">
        <v>402</v>
      </c>
      <c r="K40" s="20" t="s">
        <v>403</v>
      </c>
    </row>
    <row r="41" ht="15.75" customHeight="1">
      <c r="A41" s="14" t="s">
        <v>46</v>
      </c>
      <c r="B41" s="15">
        <v>37.0</v>
      </c>
      <c r="C41" s="17" t="s">
        <v>411</v>
      </c>
      <c r="D41" s="17" t="s">
        <v>412</v>
      </c>
      <c r="E41" s="17" t="s">
        <v>386</v>
      </c>
      <c r="F41" s="16" t="s">
        <v>68</v>
      </c>
      <c r="G41" s="16" t="s">
        <v>371</v>
      </c>
      <c r="H41" s="17" t="s">
        <v>387</v>
      </c>
      <c r="I41" s="16" t="s">
        <v>74</v>
      </c>
      <c r="J41" s="17" t="s">
        <v>388</v>
      </c>
      <c r="K41" s="20"/>
    </row>
    <row r="42" ht="15.75" customHeight="1">
      <c r="A42" s="14" t="s">
        <v>46</v>
      </c>
      <c r="B42" s="15">
        <v>38.0</v>
      </c>
      <c r="C42" s="17" t="s">
        <v>415</v>
      </c>
      <c r="D42" s="17" t="s">
        <v>391</v>
      </c>
      <c r="E42" s="17" t="s">
        <v>392</v>
      </c>
      <c r="F42" s="16" t="s">
        <v>68</v>
      </c>
      <c r="G42" s="16" t="s">
        <v>371</v>
      </c>
      <c r="H42" s="17" t="s">
        <v>394</v>
      </c>
      <c r="I42" s="16" t="s">
        <v>74</v>
      </c>
      <c r="J42" s="17" t="s">
        <v>395</v>
      </c>
      <c r="K42" s="20"/>
    </row>
    <row r="43" ht="15.75" customHeight="1">
      <c r="A43" s="14" t="s">
        <v>46</v>
      </c>
      <c r="B43" s="15">
        <v>39.0</v>
      </c>
      <c r="C43" s="17" t="s">
        <v>416</v>
      </c>
      <c r="D43" s="17" t="s">
        <v>398</v>
      </c>
      <c r="E43" s="17" t="s">
        <v>399</v>
      </c>
      <c r="F43" s="16" t="s">
        <v>357</v>
      </c>
      <c r="G43" s="16" t="s">
        <v>371</v>
      </c>
      <c r="H43" s="17" t="s">
        <v>401</v>
      </c>
      <c r="I43" s="16" t="s">
        <v>74</v>
      </c>
      <c r="J43" s="17" t="s">
        <v>402</v>
      </c>
      <c r="K43" s="20" t="s">
        <v>403</v>
      </c>
    </row>
    <row r="44" ht="15.75" customHeight="1">
      <c r="A44" s="14" t="s">
        <v>46</v>
      </c>
      <c r="B44" s="15">
        <v>40.0</v>
      </c>
      <c r="C44" s="17" t="s">
        <v>417</v>
      </c>
      <c r="D44" s="17" t="s">
        <v>418</v>
      </c>
      <c r="E44" s="17" t="s">
        <v>386</v>
      </c>
      <c r="F44" s="16" t="s">
        <v>68</v>
      </c>
      <c r="G44" s="16" t="s">
        <v>371</v>
      </c>
      <c r="H44" s="17" t="s">
        <v>387</v>
      </c>
      <c r="I44" s="16" t="s">
        <v>74</v>
      </c>
      <c r="J44" s="17" t="s">
        <v>388</v>
      </c>
      <c r="K44" s="20"/>
    </row>
    <row r="45" ht="15.75" customHeight="1">
      <c r="A45" s="14" t="s">
        <v>46</v>
      </c>
      <c r="B45" s="15">
        <v>41.0</v>
      </c>
      <c r="C45" s="17" t="s">
        <v>423</v>
      </c>
      <c r="D45" s="17" t="s">
        <v>424</v>
      </c>
      <c r="E45" s="17" t="s">
        <v>392</v>
      </c>
      <c r="F45" s="16" t="s">
        <v>68</v>
      </c>
      <c r="G45" s="16" t="s">
        <v>371</v>
      </c>
      <c r="H45" s="17" t="s">
        <v>394</v>
      </c>
      <c r="I45" s="16" t="s">
        <v>74</v>
      </c>
      <c r="J45" s="17" t="s">
        <v>395</v>
      </c>
      <c r="K45" s="20"/>
    </row>
    <row r="46" ht="15.75" customHeight="1">
      <c r="A46" s="14" t="s">
        <v>46</v>
      </c>
      <c r="B46" s="15">
        <v>42.0</v>
      </c>
      <c r="C46" s="17" t="s">
        <v>432</v>
      </c>
      <c r="D46" s="17" t="s">
        <v>398</v>
      </c>
      <c r="E46" s="17" t="s">
        <v>399</v>
      </c>
      <c r="F46" s="16" t="s">
        <v>357</v>
      </c>
      <c r="G46" s="16" t="s">
        <v>371</v>
      </c>
      <c r="H46" s="17" t="s">
        <v>401</v>
      </c>
      <c r="I46" s="16" t="s">
        <v>74</v>
      </c>
      <c r="J46" s="17" t="s">
        <v>402</v>
      </c>
      <c r="K46" s="20" t="s">
        <v>403</v>
      </c>
    </row>
    <row r="47" ht="15.75" customHeight="1">
      <c r="A47" s="14" t="s">
        <v>46</v>
      </c>
      <c r="B47" s="15">
        <v>43.0</v>
      </c>
      <c r="C47" s="17" t="s">
        <v>434</v>
      </c>
      <c r="D47" s="17" t="s">
        <v>436</v>
      </c>
      <c r="E47" s="17" t="s">
        <v>386</v>
      </c>
      <c r="F47" s="16" t="s">
        <v>68</v>
      </c>
      <c r="G47" s="16" t="s">
        <v>371</v>
      </c>
      <c r="H47" s="17" t="s">
        <v>387</v>
      </c>
      <c r="I47" s="16" t="s">
        <v>74</v>
      </c>
      <c r="J47" s="17" t="s">
        <v>388</v>
      </c>
      <c r="K47" s="20"/>
    </row>
    <row r="48" ht="15.75" customHeight="1">
      <c r="A48" s="14" t="s">
        <v>46</v>
      </c>
      <c r="B48" s="15">
        <v>44.0</v>
      </c>
      <c r="C48" s="17" t="s">
        <v>437</v>
      </c>
      <c r="D48" s="17" t="s">
        <v>424</v>
      </c>
      <c r="E48" s="17" t="s">
        <v>392</v>
      </c>
      <c r="F48" s="16" t="s">
        <v>68</v>
      </c>
      <c r="G48" s="16" t="s">
        <v>371</v>
      </c>
      <c r="H48" s="17" t="s">
        <v>394</v>
      </c>
      <c r="I48" s="16" t="s">
        <v>74</v>
      </c>
      <c r="J48" s="17" t="s">
        <v>395</v>
      </c>
      <c r="K48" s="20"/>
    </row>
    <row r="49" ht="15.75" customHeight="1">
      <c r="A49" s="14" t="s">
        <v>46</v>
      </c>
      <c r="B49" s="15">
        <v>45.0</v>
      </c>
      <c r="C49" s="17" t="s">
        <v>438</v>
      </c>
      <c r="D49" s="17" t="s">
        <v>398</v>
      </c>
      <c r="E49" s="17" t="s">
        <v>399</v>
      </c>
      <c r="F49" s="16" t="s">
        <v>357</v>
      </c>
      <c r="G49" s="16" t="s">
        <v>371</v>
      </c>
      <c r="H49" s="17" t="s">
        <v>401</v>
      </c>
      <c r="I49" s="16" t="s">
        <v>74</v>
      </c>
      <c r="J49" s="17" t="s">
        <v>402</v>
      </c>
      <c r="K49" s="20" t="s">
        <v>403</v>
      </c>
    </row>
    <row r="50" ht="15.75" customHeight="1">
      <c r="A50" s="14" t="s">
        <v>46</v>
      </c>
      <c r="B50" s="15">
        <v>46.0</v>
      </c>
      <c r="C50" s="17" t="s">
        <v>439</v>
      </c>
      <c r="D50" s="17" t="s">
        <v>440</v>
      </c>
      <c r="E50" s="17" t="s">
        <v>441</v>
      </c>
      <c r="F50" s="16" t="s">
        <v>68</v>
      </c>
      <c r="G50" s="16" t="s">
        <v>371</v>
      </c>
      <c r="H50" s="17" t="s">
        <v>442</v>
      </c>
      <c r="I50" s="16" t="s">
        <v>74</v>
      </c>
      <c r="J50" s="17" t="s">
        <v>443</v>
      </c>
      <c r="K50" s="20"/>
    </row>
    <row r="51" ht="15.75" customHeight="1">
      <c r="A51" s="14" t="s">
        <v>46</v>
      </c>
      <c r="B51" s="15">
        <v>47.0</v>
      </c>
      <c r="C51" s="17" t="s">
        <v>448</v>
      </c>
      <c r="D51" s="17" t="s">
        <v>450</v>
      </c>
      <c r="E51" s="17" t="s">
        <v>441</v>
      </c>
      <c r="F51" s="16" t="s">
        <v>68</v>
      </c>
      <c r="G51" s="16" t="s">
        <v>371</v>
      </c>
      <c r="H51" s="17" t="s">
        <v>442</v>
      </c>
      <c r="I51" s="16" t="s">
        <v>74</v>
      </c>
      <c r="J51" s="17" t="s">
        <v>443</v>
      </c>
      <c r="K51" s="20"/>
    </row>
    <row r="52" ht="15.75" customHeight="1">
      <c r="A52" s="14" t="s">
        <v>46</v>
      </c>
      <c r="B52" s="15">
        <v>48.0</v>
      </c>
      <c r="C52" s="17" t="s">
        <v>452</v>
      </c>
      <c r="D52" s="17" t="s">
        <v>453</v>
      </c>
      <c r="E52" s="17" t="s">
        <v>441</v>
      </c>
      <c r="F52" s="16" t="s">
        <v>68</v>
      </c>
      <c r="G52" s="16" t="s">
        <v>371</v>
      </c>
      <c r="H52" s="17" t="s">
        <v>442</v>
      </c>
      <c r="I52" s="16" t="s">
        <v>74</v>
      </c>
      <c r="J52" s="17" t="s">
        <v>443</v>
      </c>
      <c r="K52" s="20"/>
    </row>
    <row r="53" ht="15.75" customHeight="1">
      <c r="A53" s="14" t="s">
        <v>46</v>
      </c>
      <c r="B53" s="15">
        <v>49.0</v>
      </c>
      <c r="C53" s="17" t="s">
        <v>353</v>
      </c>
      <c r="D53" s="17" t="s">
        <v>456</v>
      </c>
      <c r="E53" s="17" t="s">
        <v>369</v>
      </c>
      <c r="F53" s="16" t="s">
        <v>68</v>
      </c>
      <c r="G53" s="16" t="s">
        <v>371</v>
      </c>
      <c r="H53" s="17" t="s">
        <v>457</v>
      </c>
      <c r="I53" s="16" t="s">
        <v>74</v>
      </c>
      <c r="J53" s="17" t="s">
        <v>373</v>
      </c>
      <c r="K53" s="20" t="s">
        <v>374</v>
      </c>
    </row>
    <row r="54" ht="15.75" customHeight="1">
      <c r="A54" s="14" t="s">
        <v>46</v>
      </c>
      <c r="B54" s="15">
        <v>50.0</v>
      </c>
      <c r="C54" s="17" t="s">
        <v>332</v>
      </c>
      <c r="D54" s="17" t="s">
        <v>460</v>
      </c>
      <c r="E54" s="17" t="s">
        <v>377</v>
      </c>
      <c r="F54" s="16" t="s">
        <v>213</v>
      </c>
      <c r="G54" s="16" t="s">
        <v>371</v>
      </c>
      <c r="H54" s="17" t="s">
        <v>462</v>
      </c>
      <c r="I54" s="16" t="s">
        <v>380</v>
      </c>
      <c r="J54" s="17" t="s">
        <v>381</v>
      </c>
      <c r="K54" s="20" t="s">
        <v>382</v>
      </c>
    </row>
    <row r="55" ht="15.75" customHeight="1">
      <c r="A55" s="14" t="s">
        <v>46</v>
      </c>
      <c r="B55" s="15">
        <v>51.0</v>
      </c>
      <c r="C55" s="17" t="s">
        <v>464</v>
      </c>
      <c r="D55" s="17" t="s">
        <v>465</v>
      </c>
      <c r="E55" s="17" t="s">
        <v>386</v>
      </c>
      <c r="F55" s="16" t="s">
        <v>68</v>
      </c>
      <c r="G55" s="16" t="s">
        <v>371</v>
      </c>
      <c r="H55" s="17" t="s">
        <v>466</v>
      </c>
      <c r="I55" s="16" t="s">
        <v>74</v>
      </c>
      <c r="J55" s="17" t="s">
        <v>388</v>
      </c>
      <c r="K55" s="20"/>
    </row>
    <row r="56" ht="15.75" customHeight="1">
      <c r="A56" s="14" t="s">
        <v>46</v>
      </c>
      <c r="B56" s="15">
        <v>52.0</v>
      </c>
      <c r="C56" s="17" t="s">
        <v>468</v>
      </c>
      <c r="D56" s="17" t="s">
        <v>391</v>
      </c>
      <c r="E56" s="17" t="s">
        <v>392</v>
      </c>
      <c r="F56" s="16" t="s">
        <v>68</v>
      </c>
      <c r="G56" s="16" t="s">
        <v>371</v>
      </c>
      <c r="H56" s="17" t="s">
        <v>470</v>
      </c>
      <c r="I56" s="16" t="s">
        <v>74</v>
      </c>
      <c r="J56" s="17" t="s">
        <v>395</v>
      </c>
      <c r="K56" s="20"/>
    </row>
    <row r="57" ht="15.75" customHeight="1">
      <c r="A57" s="14" t="s">
        <v>46</v>
      </c>
      <c r="B57" s="15">
        <v>53.0</v>
      </c>
      <c r="C57" s="17" t="s">
        <v>472</v>
      </c>
      <c r="D57" s="17" t="s">
        <v>398</v>
      </c>
      <c r="E57" s="17" t="s">
        <v>399</v>
      </c>
      <c r="F57" s="16" t="s">
        <v>357</v>
      </c>
      <c r="G57" s="16" t="s">
        <v>371</v>
      </c>
      <c r="H57" s="17" t="s">
        <v>473</v>
      </c>
      <c r="I57" s="16" t="s">
        <v>74</v>
      </c>
      <c r="J57" s="17" t="s">
        <v>402</v>
      </c>
      <c r="K57" s="20" t="s">
        <v>403</v>
      </c>
    </row>
    <row r="58" ht="15.75" customHeight="1">
      <c r="A58" s="14" t="s">
        <v>46</v>
      </c>
      <c r="B58" s="15">
        <v>54.0</v>
      </c>
      <c r="C58" s="17" t="s">
        <v>475</v>
      </c>
      <c r="D58" s="17" t="s">
        <v>477</v>
      </c>
      <c r="E58" s="17" t="s">
        <v>386</v>
      </c>
      <c r="F58" s="16" t="s">
        <v>68</v>
      </c>
      <c r="G58" s="16" t="s">
        <v>371</v>
      </c>
      <c r="H58" s="17" t="s">
        <v>466</v>
      </c>
      <c r="I58" s="16" t="s">
        <v>74</v>
      </c>
      <c r="J58" s="17" t="s">
        <v>388</v>
      </c>
      <c r="K58" s="20"/>
    </row>
    <row r="59" ht="15.75" customHeight="1">
      <c r="A59" s="14" t="s">
        <v>46</v>
      </c>
      <c r="B59" s="15">
        <v>55.0</v>
      </c>
      <c r="C59" s="17" t="s">
        <v>479</v>
      </c>
      <c r="D59" s="17" t="s">
        <v>424</v>
      </c>
      <c r="E59" s="17" t="s">
        <v>392</v>
      </c>
      <c r="F59" s="16" t="s">
        <v>68</v>
      </c>
      <c r="G59" s="16" t="s">
        <v>371</v>
      </c>
      <c r="H59" s="17" t="s">
        <v>470</v>
      </c>
      <c r="I59" s="16" t="s">
        <v>74</v>
      </c>
      <c r="J59" s="17" t="s">
        <v>395</v>
      </c>
      <c r="K59" s="20"/>
    </row>
    <row r="60" ht="15.75" customHeight="1">
      <c r="A60" s="14" t="s">
        <v>46</v>
      </c>
      <c r="B60" s="15">
        <v>56.0</v>
      </c>
      <c r="C60" s="17" t="s">
        <v>482</v>
      </c>
      <c r="D60" s="17" t="s">
        <v>398</v>
      </c>
      <c r="E60" s="17" t="s">
        <v>399</v>
      </c>
      <c r="F60" s="16" t="s">
        <v>357</v>
      </c>
      <c r="G60" s="16" t="s">
        <v>371</v>
      </c>
      <c r="H60" s="17" t="s">
        <v>473</v>
      </c>
      <c r="I60" s="16" t="s">
        <v>74</v>
      </c>
      <c r="J60" s="17" t="s">
        <v>402</v>
      </c>
      <c r="K60" s="20" t="s">
        <v>403</v>
      </c>
    </row>
    <row r="61" ht="15.75" customHeight="1">
      <c r="A61" s="14" t="s">
        <v>46</v>
      </c>
      <c r="B61" s="15">
        <v>57.0</v>
      </c>
      <c r="C61" s="17" t="s">
        <v>485</v>
      </c>
      <c r="D61" s="17" t="s">
        <v>486</v>
      </c>
      <c r="E61" s="17" t="s">
        <v>386</v>
      </c>
      <c r="F61" s="16" t="s">
        <v>68</v>
      </c>
      <c r="G61" s="16" t="s">
        <v>371</v>
      </c>
      <c r="H61" s="17" t="s">
        <v>466</v>
      </c>
      <c r="I61" s="16" t="s">
        <v>74</v>
      </c>
      <c r="J61" s="17" t="s">
        <v>388</v>
      </c>
      <c r="K61" s="20"/>
    </row>
    <row r="62" ht="15.75" customHeight="1">
      <c r="A62" s="14" t="s">
        <v>46</v>
      </c>
      <c r="B62" s="15">
        <v>58.0</v>
      </c>
      <c r="C62" s="17" t="s">
        <v>488</v>
      </c>
      <c r="D62" s="17" t="s">
        <v>424</v>
      </c>
      <c r="E62" s="17" t="s">
        <v>392</v>
      </c>
      <c r="F62" s="16" t="s">
        <v>68</v>
      </c>
      <c r="G62" s="16" t="s">
        <v>371</v>
      </c>
      <c r="H62" s="17" t="s">
        <v>470</v>
      </c>
      <c r="I62" s="16" t="s">
        <v>74</v>
      </c>
      <c r="J62" s="17" t="s">
        <v>395</v>
      </c>
      <c r="K62" s="20"/>
    </row>
    <row r="63" ht="15.75" customHeight="1">
      <c r="A63" s="14" t="s">
        <v>46</v>
      </c>
      <c r="B63" s="15">
        <v>59.0</v>
      </c>
      <c r="C63" s="17" t="s">
        <v>490</v>
      </c>
      <c r="D63" s="17" t="s">
        <v>398</v>
      </c>
      <c r="E63" s="17" t="s">
        <v>399</v>
      </c>
      <c r="F63" s="16" t="s">
        <v>357</v>
      </c>
      <c r="G63" s="16" t="s">
        <v>371</v>
      </c>
      <c r="H63" s="17" t="s">
        <v>473</v>
      </c>
      <c r="I63" s="16" t="s">
        <v>74</v>
      </c>
      <c r="J63" s="17" t="s">
        <v>402</v>
      </c>
      <c r="K63" s="20" t="s">
        <v>403</v>
      </c>
    </row>
    <row r="64" ht="15.75" customHeight="1">
      <c r="A64" s="14" t="s">
        <v>46</v>
      </c>
      <c r="B64" s="15">
        <v>60.0</v>
      </c>
      <c r="C64" s="17" t="s">
        <v>493</v>
      </c>
      <c r="D64" s="17" t="s">
        <v>494</v>
      </c>
      <c r="E64" s="17" t="s">
        <v>386</v>
      </c>
      <c r="F64" s="16" t="s">
        <v>68</v>
      </c>
      <c r="G64" s="16" t="s">
        <v>371</v>
      </c>
      <c r="H64" s="17" t="s">
        <v>466</v>
      </c>
      <c r="I64" s="16" t="s">
        <v>74</v>
      </c>
      <c r="J64" s="17" t="s">
        <v>388</v>
      </c>
      <c r="K64" s="20"/>
    </row>
    <row r="65" ht="15.75" customHeight="1">
      <c r="A65" s="14" t="s">
        <v>46</v>
      </c>
      <c r="B65" s="15">
        <v>61.0</v>
      </c>
      <c r="C65" s="17" t="s">
        <v>496</v>
      </c>
      <c r="D65" s="17" t="s">
        <v>424</v>
      </c>
      <c r="E65" s="17" t="s">
        <v>392</v>
      </c>
      <c r="F65" s="16" t="s">
        <v>68</v>
      </c>
      <c r="G65" s="16" t="s">
        <v>371</v>
      </c>
      <c r="H65" s="17" t="s">
        <v>470</v>
      </c>
      <c r="I65" s="16" t="s">
        <v>74</v>
      </c>
      <c r="J65" s="17" t="s">
        <v>395</v>
      </c>
      <c r="K65" s="20"/>
    </row>
    <row r="66" ht="15.75" customHeight="1">
      <c r="A66" s="14" t="s">
        <v>46</v>
      </c>
      <c r="B66" s="15">
        <v>62.0</v>
      </c>
      <c r="C66" s="17" t="s">
        <v>498</v>
      </c>
      <c r="D66" s="17" t="s">
        <v>398</v>
      </c>
      <c r="E66" s="17" t="s">
        <v>399</v>
      </c>
      <c r="F66" s="16" t="s">
        <v>357</v>
      </c>
      <c r="G66" s="16" t="s">
        <v>371</v>
      </c>
      <c r="H66" s="17" t="s">
        <v>473</v>
      </c>
      <c r="I66" s="16" t="s">
        <v>74</v>
      </c>
      <c r="J66" s="17" t="s">
        <v>402</v>
      </c>
      <c r="K66" s="20" t="s">
        <v>403</v>
      </c>
    </row>
    <row r="67" ht="15.75" customHeight="1">
      <c r="A67" s="14" t="s">
        <v>46</v>
      </c>
      <c r="B67" s="15">
        <v>63.0</v>
      </c>
      <c r="C67" s="17" t="s">
        <v>501</v>
      </c>
      <c r="D67" s="17" t="s">
        <v>502</v>
      </c>
      <c r="E67" s="17" t="s">
        <v>386</v>
      </c>
      <c r="F67" s="16" t="s">
        <v>68</v>
      </c>
      <c r="G67" s="16" t="s">
        <v>371</v>
      </c>
      <c r="H67" s="17" t="s">
        <v>466</v>
      </c>
      <c r="I67" s="16" t="s">
        <v>74</v>
      </c>
      <c r="J67" s="17" t="s">
        <v>388</v>
      </c>
      <c r="K67" s="20"/>
    </row>
    <row r="68" ht="15.75" customHeight="1">
      <c r="A68" s="14" t="s">
        <v>46</v>
      </c>
      <c r="B68" s="15">
        <v>64.0</v>
      </c>
      <c r="C68" s="17" t="s">
        <v>504</v>
      </c>
      <c r="D68" s="17" t="s">
        <v>424</v>
      </c>
      <c r="E68" s="17" t="s">
        <v>392</v>
      </c>
      <c r="F68" s="16" t="s">
        <v>68</v>
      </c>
      <c r="G68" s="16" t="s">
        <v>371</v>
      </c>
      <c r="H68" s="17" t="s">
        <v>470</v>
      </c>
      <c r="I68" s="16" t="s">
        <v>74</v>
      </c>
      <c r="J68" s="17" t="s">
        <v>395</v>
      </c>
      <c r="K68" s="20"/>
    </row>
    <row r="69" ht="15.75" customHeight="1">
      <c r="A69" s="14" t="s">
        <v>46</v>
      </c>
      <c r="B69" s="15">
        <v>65.0</v>
      </c>
      <c r="C69" s="17" t="s">
        <v>505</v>
      </c>
      <c r="D69" s="17" t="s">
        <v>398</v>
      </c>
      <c r="E69" s="17" t="s">
        <v>399</v>
      </c>
      <c r="F69" s="16" t="s">
        <v>357</v>
      </c>
      <c r="G69" s="16" t="s">
        <v>371</v>
      </c>
      <c r="H69" s="17" t="s">
        <v>473</v>
      </c>
      <c r="I69" s="16" t="s">
        <v>74</v>
      </c>
      <c r="J69" s="17" t="s">
        <v>402</v>
      </c>
      <c r="K69" s="20" t="s">
        <v>403</v>
      </c>
    </row>
    <row r="70" ht="15.75" customHeight="1">
      <c r="A70" s="14" t="s">
        <v>46</v>
      </c>
      <c r="B70" s="15">
        <v>66.0</v>
      </c>
      <c r="C70" s="17" t="s">
        <v>509</v>
      </c>
      <c r="D70" s="17" t="s">
        <v>515</v>
      </c>
      <c r="E70" s="17" t="s">
        <v>441</v>
      </c>
      <c r="F70" s="16" t="s">
        <v>68</v>
      </c>
      <c r="G70" s="16" t="s">
        <v>371</v>
      </c>
      <c r="H70" s="17" t="s">
        <v>517</v>
      </c>
      <c r="I70" s="16" t="s">
        <v>74</v>
      </c>
      <c r="J70" s="17" t="s">
        <v>443</v>
      </c>
      <c r="K70" s="20"/>
    </row>
    <row r="71" ht="15.75" customHeight="1">
      <c r="A71" s="14" t="s">
        <v>46</v>
      </c>
      <c r="B71" s="15">
        <v>67.0</v>
      </c>
      <c r="C71" s="17" t="s">
        <v>516</v>
      </c>
      <c r="D71" s="17" t="s">
        <v>519</v>
      </c>
      <c r="E71" s="17" t="s">
        <v>441</v>
      </c>
      <c r="F71" s="16" t="s">
        <v>68</v>
      </c>
      <c r="G71" s="16" t="s">
        <v>371</v>
      </c>
      <c r="H71" s="17" t="s">
        <v>517</v>
      </c>
      <c r="I71" s="16" t="s">
        <v>74</v>
      </c>
      <c r="J71" s="17" t="s">
        <v>443</v>
      </c>
      <c r="K71" s="20"/>
    </row>
    <row r="72" ht="15.75" customHeight="1">
      <c r="A72" s="14" t="s">
        <v>46</v>
      </c>
      <c r="B72" s="15">
        <v>68.0</v>
      </c>
      <c r="C72" s="17" t="s">
        <v>518</v>
      </c>
      <c r="D72" s="17" t="s">
        <v>526</v>
      </c>
      <c r="E72" s="17" t="s">
        <v>441</v>
      </c>
      <c r="F72" s="16" t="s">
        <v>68</v>
      </c>
      <c r="G72" s="16" t="s">
        <v>371</v>
      </c>
      <c r="H72" s="17" t="s">
        <v>517</v>
      </c>
      <c r="I72" s="16" t="s">
        <v>74</v>
      </c>
      <c r="J72" s="17" t="s">
        <v>443</v>
      </c>
      <c r="K72" s="20"/>
    </row>
    <row r="73" ht="15.75" customHeight="1">
      <c r="A73" s="14" t="s">
        <v>46</v>
      </c>
      <c r="B73" s="15">
        <v>69.0</v>
      </c>
      <c r="C73" s="17" t="s">
        <v>359</v>
      </c>
      <c r="D73" s="17" t="s">
        <v>534</v>
      </c>
      <c r="E73" s="17" t="s">
        <v>369</v>
      </c>
      <c r="F73" s="16" t="s">
        <v>68</v>
      </c>
      <c r="G73" s="16" t="s">
        <v>371</v>
      </c>
      <c r="H73" s="17" t="s">
        <v>538</v>
      </c>
      <c r="I73" s="16" t="s">
        <v>74</v>
      </c>
      <c r="J73" s="17" t="s">
        <v>373</v>
      </c>
      <c r="K73" s="20" t="s">
        <v>374</v>
      </c>
    </row>
    <row r="74" ht="15.75" customHeight="1">
      <c r="A74" s="14" t="s">
        <v>46</v>
      </c>
      <c r="B74" s="15">
        <v>70.0</v>
      </c>
      <c r="C74" s="17" t="s">
        <v>340</v>
      </c>
      <c r="D74" s="17" t="s">
        <v>546</v>
      </c>
      <c r="E74" s="17" t="s">
        <v>377</v>
      </c>
      <c r="F74" s="16" t="s">
        <v>213</v>
      </c>
      <c r="G74" s="16" t="s">
        <v>371</v>
      </c>
      <c r="H74" s="17" t="s">
        <v>548</v>
      </c>
      <c r="I74" s="16" t="s">
        <v>380</v>
      </c>
      <c r="J74" s="17" t="s">
        <v>381</v>
      </c>
      <c r="K74" s="20" t="s">
        <v>382</v>
      </c>
    </row>
    <row r="75" ht="15.75" customHeight="1">
      <c r="A75" s="14" t="s">
        <v>46</v>
      </c>
      <c r="B75" s="15">
        <v>71.0</v>
      </c>
      <c r="C75" s="17" t="s">
        <v>550</v>
      </c>
      <c r="D75" s="17" t="s">
        <v>551</v>
      </c>
      <c r="E75" s="17" t="s">
        <v>386</v>
      </c>
      <c r="F75" s="16" t="s">
        <v>68</v>
      </c>
      <c r="G75" s="16" t="s">
        <v>371</v>
      </c>
      <c r="H75" s="17" t="s">
        <v>553</v>
      </c>
      <c r="I75" s="16" t="s">
        <v>74</v>
      </c>
      <c r="J75" s="17" t="s">
        <v>388</v>
      </c>
      <c r="K75" s="20"/>
    </row>
    <row r="76" ht="15.75" customHeight="1">
      <c r="A76" s="14" t="s">
        <v>46</v>
      </c>
      <c r="B76" s="15">
        <v>72.0</v>
      </c>
      <c r="C76" s="17" t="s">
        <v>555</v>
      </c>
      <c r="D76" s="17" t="s">
        <v>424</v>
      </c>
      <c r="E76" s="17" t="s">
        <v>392</v>
      </c>
      <c r="F76" s="16" t="s">
        <v>68</v>
      </c>
      <c r="G76" s="16" t="s">
        <v>371</v>
      </c>
      <c r="H76" s="17" t="s">
        <v>557</v>
      </c>
      <c r="I76" s="16" t="s">
        <v>74</v>
      </c>
      <c r="J76" s="17" t="s">
        <v>395</v>
      </c>
      <c r="K76" s="20"/>
    </row>
    <row r="77" ht="15.75" customHeight="1">
      <c r="A77" s="14" t="s">
        <v>46</v>
      </c>
      <c r="B77" s="15">
        <v>73.0</v>
      </c>
      <c r="C77" s="17" t="s">
        <v>559</v>
      </c>
      <c r="D77" s="17" t="s">
        <v>398</v>
      </c>
      <c r="E77" s="17" t="s">
        <v>399</v>
      </c>
      <c r="F77" s="16" t="s">
        <v>357</v>
      </c>
      <c r="G77" s="16" t="s">
        <v>371</v>
      </c>
      <c r="H77" s="17" t="s">
        <v>561</v>
      </c>
      <c r="I77" s="16" t="s">
        <v>74</v>
      </c>
      <c r="J77" s="17" t="s">
        <v>402</v>
      </c>
      <c r="K77" s="20" t="s">
        <v>403</v>
      </c>
    </row>
    <row r="78" ht="15.75" customHeight="1">
      <c r="A78" s="14" t="s">
        <v>46</v>
      </c>
      <c r="B78" s="15">
        <v>74.0</v>
      </c>
      <c r="C78" s="17" t="s">
        <v>564</v>
      </c>
      <c r="D78" s="17" t="s">
        <v>565</v>
      </c>
      <c r="E78" s="17" t="s">
        <v>386</v>
      </c>
      <c r="F78" s="16" t="s">
        <v>68</v>
      </c>
      <c r="G78" s="16" t="s">
        <v>371</v>
      </c>
      <c r="H78" s="17" t="s">
        <v>553</v>
      </c>
      <c r="I78" s="16" t="s">
        <v>74</v>
      </c>
      <c r="J78" s="17" t="s">
        <v>388</v>
      </c>
      <c r="K78" s="20"/>
    </row>
    <row r="79" ht="15.75" customHeight="1">
      <c r="A79" s="14" t="s">
        <v>46</v>
      </c>
      <c r="B79" s="15">
        <v>75.0</v>
      </c>
      <c r="C79" s="17" t="s">
        <v>568</v>
      </c>
      <c r="D79" s="17" t="s">
        <v>391</v>
      </c>
      <c r="E79" s="17" t="s">
        <v>392</v>
      </c>
      <c r="F79" s="16" t="s">
        <v>68</v>
      </c>
      <c r="G79" s="16" t="s">
        <v>371</v>
      </c>
      <c r="H79" s="17" t="s">
        <v>557</v>
      </c>
      <c r="I79" s="16" t="s">
        <v>74</v>
      </c>
      <c r="J79" s="17" t="s">
        <v>395</v>
      </c>
      <c r="K79" s="20"/>
    </row>
    <row r="80" ht="15.75" customHeight="1">
      <c r="A80" s="14" t="s">
        <v>46</v>
      </c>
      <c r="B80" s="15">
        <v>76.0</v>
      </c>
      <c r="C80" s="17" t="s">
        <v>572</v>
      </c>
      <c r="D80" s="17" t="s">
        <v>398</v>
      </c>
      <c r="E80" s="17" t="s">
        <v>399</v>
      </c>
      <c r="F80" s="16" t="s">
        <v>357</v>
      </c>
      <c r="G80" s="16" t="s">
        <v>371</v>
      </c>
      <c r="H80" s="17" t="s">
        <v>561</v>
      </c>
      <c r="I80" s="16" t="s">
        <v>74</v>
      </c>
      <c r="J80" s="17" t="s">
        <v>402</v>
      </c>
      <c r="K80" s="20" t="s">
        <v>403</v>
      </c>
    </row>
    <row r="81" ht="15.75" customHeight="1">
      <c r="A81" s="14" t="s">
        <v>46</v>
      </c>
      <c r="B81" s="15">
        <v>77.0</v>
      </c>
      <c r="C81" s="17" t="s">
        <v>575</v>
      </c>
      <c r="D81" s="17" t="s">
        <v>576</v>
      </c>
      <c r="E81" s="17" t="s">
        <v>386</v>
      </c>
      <c r="F81" s="16" t="s">
        <v>68</v>
      </c>
      <c r="G81" s="16" t="s">
        <v>371</v>
      </c>
      <c r="H81" s="17" t="s">
        <v>553</v>
      </c>
      <c r="I81" s="16" t="s">
        <v>74</v>
      </c>
      <c r="J81" s="17" t="s">
        <v>388</v>
      </c>
      <c r="K81" s="20"/>
    </row>
    <row r="82" ht="15.75" customHeight="1">
      <c r="A82" s="14" t="s">
        <v>46</v>
      </c>
      <c r="B82" s="15">
        <v>78.0</v>
      </c>
      <c r="C82" s="17" t="s">
        <v>578</v>
      </c>
      <c r="D82" s="17" t="s">
        <v>424</v>
      </c>
      <c r="E82" s="17" t="s">
        <v>392</v>
      </c>
      <c r="F82" s="16" t="s">
        <v>68</v>
      </c>
      <c r="G82" s="16" t="s">
        <v>371</v>
      </c>
      <c r="H82" s="17" t="s">
        <v>557</v>
      </c>
      <c r="I82" s="16" t="s">
        <v>74</v>
      </c>
      <c r="J82" s="17" t="s">
        <v>395</v>
      </c>
      <c r="K82" s="20"/>
    </row>
    <row r="83" ht="15.75" customHeight="1">
      <c r="A83" s="14" t="s">
        <v>46</v>
      </c>
      <c r="B83" s="15">
        <v>79.0</v>
      </c>
      <c r="C83" s="17" t="s">
        <v>581</v>
      </c>
      <c r="D83" s="17" t="s">
        <v>398</v>
      </c>
      <c r="E83" s="17" t="s">
        <v>399</v>
      </c>
      <c r="F83" s="16" t="s">
        <v>357</v>
      </c>
      <c r="G83" s="16" t="s">
        <v>371</v>
      </c>
      <c r="H83" s="17" t="s">
        <v>561</v>
      </c>
      <c r="I83" s="16" t="s">
        <v>74</v>
      </c>
      <c r="J83" s="17" t="s">
        <v>402</v>
      </c>
      <c r="K83" s="20" t="s">
        <v>403</v>
      </c>
    </row>
    <row r="84" ht="15.75" customHeight="1">
      <c r="A84" s="14" t="s">
        <v>46</v>
      </c>
      <c r="B84" s="15">
        <v>80.0</v>
      </c>
      <c r="C84" s="17" t="s">
        <v>583</v>
      </c>
      <c r="D84" s="17" t="s">
        <v>584</v>
      </c>
      <c r="E84" s="17" t="s">
        <v>386</v>
      </c>
      <c r="F84" s="16" t="s">
        <v>68</v>
      </c>
      <c r="G84" s="16" t="s">
        <v>371</v>
      </c>
      <c r="H84" s="17" t="s">
        <v>553</v>
      </c>
      <c r="I84" s="16" t="s">
        <v>74</v>
      </c>
      <c r="J84" s="17" t="s">
        <v>388</v>
      </c>
      <c r="K84" s="20"/>
    </row>
    <row r="85" ht="15.75" customHeight="1">
      <c r="A85" s="14" t="s">
        <v>46</v>
      </c>
      <c r="B85" s="15">
        <v>81.0</v>
      </c>
      <c r="C85" s="17" t="s">
        <v>586</v>
      </c>
      <c r="D85" s="17" t="s">
        <v>424</v>
      </c>
      <c r="E85" s="17" t="s">
        <v>392</v>
      </c>
      <c r="F85" s="16" t="s">
        <v>68</v>
      </c>
      <c r="G85" s="16" t="s">
        <v>371</v>
      </c>
      <c r="H85" s="17" t="s">
        <v>557</v>
      </c>
      <c r="I85" s="16" t="s">
        <v>74</v>
      </c>
      <c r="J85" s="17" t="s">
        <v>395</v>
      </c>
      <c r="K85" s="20"/>
    </row>
    <row r="86" ht="15.75" customHeight="1">
      <c r="A86" s="14" t="s">
        <v>46</v>
      </c>
      <c r="B86" s="15">
        <v>82.0</v>
      </c>
      <c r="C86" s="17" t="s">
        <v>591</v>
      </c>
      <c r="D86" s="17" t="s">
        <v>398</v>
      </c>
      <c r="E86" s="17" t="s">
        <v>399</v>
      </c>
      <c r="F86" s="16" t="s">
        <v>357</v>
      </c>
      <c r="G86" s="16" t="s">
        <v>371</v>
      </c>
      <c r="H86" s="17" t="s">
        <v>561</v>
      </c>
      <c r="I86" s="16" t="s">
        <v>74</v>
      </c>
      <c r="J86" s="17" t="s">
        <v>402</v>
      </c>
      <c r="K86" s="20" t="s">
        <v>403</v>
      </c>
    </row>
    <row r="87" ht="15.75" customHeight="1">
      <c r="A87" s="14" t="s">
        <v>46</v>
      </c>
      <c r="B87" s="15">
        <v>83.0</v>
      </c>
      <c r="C87" s="17" t="s">
        <v>603</v>
      </c>
      <c r="D87" s="17" t="s">
        <v>606</v>
      </c>
      <c r="E87" s="17" t="s">
        <v>386</v>
      </c>
      <c r="F87" s="16" t="s">
        <v>68</v>
      </c>
      <c r="G87" s="16" t="s">
        <v>371</v>
      </c>
      <c r="H87" s="17" t="s">
        <v>553</v>
      </c>
      <c r="I87" s="16" t="s">
        <v>74</v>
      </c>
      <c r="J87" s="17" t="s">
        <v>388</v>
      </c>
      <c r="K87" s="20"/>
    </row>
    <row r="88" ht="15.75" customHeight="1">
      <c r="A88" s="14" t="s">
        <v>46</v>
      </c>
      <c r="B88" s="15">
        <v>84.0</v>
      </c>
      <c r="C88" s="17" t="s">
        <v>616</v>
      </c>
      <c r="D88" s="17" t="s">
        <v>424</v>
      </c>
      <c r="E88" s="17" t="s">
        <v>392</v>
      </c>
      <c r="F88" s="16" t="s">
        <v>68</v>
      </c>
      <c r="G88" s="16" t="s">
        <v>371</v>
      </c>
      <c r="H88" s="17" t="s">
        <v>557</v>
      </c>
      <c r="I88" s="16" t="s">
        <v>74</v>
      </c>
      <c r="J88" s="17" t="s">
        <v>395</v>
      </c>
      <c r="K88" s="20"/>
    </row>
    <row r="89" ht="15.75" customHeight="1">
      <c r="A89" s="14" t="s">
        <v>46</v>
      </c>
      <c r="B89" s="15">
        <v>85.0</v>
      </c>
      <c r="C89" s="17" t="s">
        <v>623</v>
      </c>
      <c r="D89" s="17" t="s">
        <v>398</v>
      </c>
      <c r="E89" s="17" t="s">
        <v>399</v>
      </c>
      <c r="F89" s="16" t="s">
        <v>357</v>
      </c>
      <c r="G89" s="16" t="s">
        <v>371</v>
      </c>
      <c r="H89" s="17" t="s">
        <v>561</v>
      </c>
      <c r="I89" s="16" t="s">
        <v>74</v>
      </c>
      <c r="J89" s="17" t="s">
        <v>402</v>
      </c>
      <c r="K89" s="20" t="s">
        <v>403</v>
      </c>
    </row>
    <row r="90" ht="15.75" customHeight="1">
      <c r="A90" s="14" t="s">
        <v>46</v>
      </c>
      <c r="B90" s="15">
        <v>86.0</v>
      </c>
      <c r="C90" s="17" t="s">
        <v>520</v>
      </c>
      <c r="D90" s="17" t="s">
        <v>633</v>
      </c>
      <c r="E90" s="17" t="s">
        <v>441</v>
      </c>
      <c r="F90" s="16" t="s">
        <v>68</v>
      </c>
      <c r="G90" s="16" t="s">
        <v>371</v>
      </c>
      <c r="H90" s="17" t="s">
        <v>636</v>
      </c>
      <c r="I90" s="16" t="s">
        <v>74</v>
      </c>
      <c r="J90" s="17" t="s">
        <v>443</v>
      </c>
      <c r="K90" s="20"/>
    </row>
    <row r="91" ht="15.75" customHeight="1">
      <c r="A91" s="14" t="s">
        <v>46</v>
      </c>
      <c r="B91" s="15">
        <v>87.0</v>
      </c>
      <c r="C91" s="17" t="s">
        <v>521</v>
      </c>
      <c r="D91" s="17" t="s">
        <v>642</v>
      </c>
      <c r="E91" s="17" t="s">
        <v>441</v>
      </c>
      <c r="F91" s="16" t="s">
        <v>68</v>
      </c>
      <c r="G91" s="16" t="s">
        <v>371</v>
      </c>
      <c r="H91" s="17" t="s">
        <v>636</v>
      </c>
      <c r="I91" s="16" t="s">
        <v>74</v>
      </c>
      <c r="J91" s="17" t="s">
        <v>443</v>
      </c>
      <c r="K91" s="20"/>
    </row>
    <row r="92" ht="15.75" customHeight="1">
      <c r="A92" s="14" t="s">
        <v>46</v>
      </c>
      <c r="B92" s="15">
        <v>88.0</v>
      </c>
      <c r="C92" s="17" t="s">
        <v>529</v>
      </c>
      <c r="D92" s="17" t="s">
        <v>648</v>
      </c>
      <c r="E92" s="17" t="s">
        <v>441</v>
      </c>
      <c r="F92" s="16" t="s">
        <v>68</v>
      </c>
      <c r="G92" s="16" t="s">
        <v>371</v>
      </c>
      <c r="H92" s="17" t="s">
        <v>636</v>
      </c>
      <c r="I92" s="16" t="s">
        <v>74</v>
      </c>
      <c r="J92" s="17" t="s">
        <v>443</v>
      </c>
      <c r="K92" s="20"/>
    </row>
    <row r="93" ht="15.75" customHeight="1">
      <c r="A93" s="14" t="s">
        <v>79</v>
      </c>
      <c r="B93" s="15">
        <v>1.0</v>
      </c>
      <c r="C93" s="17" t="s">
        <v>60</v>
      </c>
      <c r="D93" s="17" t="s">
        <v>61</v>
      </c>
      <c r="E93" s="17" t="s">
        <v>63</v>
      </c>
      <c r="F93" s="16" t="s">
        <v>68</v>
      </c>
      <c r="G93" s="16" t="s">
        <v>72</v>
      </c>
      <c r="H93" s="17" t="s">
        <v>73</v>
      </c>
      <c r="I93" s="16" t="s">
        <v>74</v>
      </c>
      <c r="J93" s="17" t="s">
        <v>76</v>
      </c>
      <c r="K93" s="20"/>
    </row>
    <row r="94" ht="15.75" customHeight="1">
      <c r="A94" s="14" t="s">
        <v>79</v>
      </c>
      <c r="B94" s="15">
        <v>2.0</v>
      </c>
      <c r="C94" s="17" t="s">
        <v>81</v>
      </c>
      <c r="D94" s="17" t="s">
        <v>84</v>
      </c>
      <c r="E94" s="17" t="s">
        <v>85</v>
      </c>
      <c r="F94" s="16" t="s">
        <v>68</v>
      </c>
      <c r="G94" s="16" t="s">
        <v>87</v>
      </c>
      <c r="H94" s="17" t="s">
        <v>89</v>
      </c>
      <c r="I94" s="16" t="s">
        <v>74</v>
      </c>
      <c r="J94" s="17" t="s">
        <v>76</v>
      </c>
      <c r="K94" s="20"/>
    </row>
    <row r="95" ht="15.75" customHeight="1">
      <c r="A95" s="14" t="s">
        <v>79</v>
      </c>
      <c r="B95" s="15">
        <v>3.0</v>
      </c>
      <c r="C95" s="17" t="s">
        <v>95</v>
      </c>
      <c r="D95" s="17" t="s">
        <v>96</v>
      </c>
      <c r="E95" s="17" t="s">
        <v>100</v>
      </c>
      <c r="F95" s="16" t="s">
        <v>68</v>
      </c>
      <c r="G95" s="16" t="s">
        <v>87</v>
      </c>
      <c r="H95" s="17" t="s">
        <v>104</v>
      </c>
      <c r="I95" s="16" t="s">
        <v>74</v>
      </c>
      <c r="J95" s="17" t="s">
        <v>76</v>
      </c>
      <c r="K95" s="20"/>
    </row>
    <row r="96" ht="15.75" customHeight="1">
      <c r="A96" s="14" t="s">
        <v>79</v>
      </c>
      <c r="B96" s="15">
        <v>4.0</v>
      </c>
      <c r="C96" s="17" t="s">
        <v>113</v>
      </c>
      <c r="D96" s="17" t="s">
        <v>115</v>
      </c>
      <c r="E96" s="17" t="s">
        <v>117</v>
      </c>
      <c r="F96" s="16" t="s">
        <v>68</v>
      </c>
      <c r="G96" s="16" t="s">
        <v>87</v>
      </c>
      <c r="H96" s="17" t="s">
        <v>121</v>
      </c>
      <c r="I96" s="16" t="s">
        <v>74</v>
      </c>
      <c r="J96" s="17" t="s">
        <v>76</v>
      </c>
      <c r="K96" s="20"/>
    </row>
    <row r="97" ht="15.75" customHeight="1">
      <c r="A97" s="14" t="s">
        <v>79</v>
      </c>
      <c r="B97" s="15">
        <v>5.0</v>
      </c>
      <c r="C97" s="17" t="s">
        <v>126</v>
      </c>
      <c r="D97" s="17" t="s">
        <v>127</v>
      </c>
      <c r="E97" s="17" t="s">
        <v>129</v>
      </c>
      <c r="F97" s="16" t="s">
        <v>68</v>
      </c>
      <c r="G97" s="16" t="s">
        <v>87</v>
      </c>
      <c r="H97" s="17" t="s">
        <v>132</v>
      </c>
      <c r="I97" s="16" t="s">
        <v>74</v>
      </c>
      <c r="J97" s="17" t="s">
        <v>76</v>
      </c>
      <c r="K97" s="20"/>
    </row>
    <row r="98" ht="15.75" customHeight="1">
      <c r="A98" s="14" t="s">
        <v>79</v>
      </c>
      <c r="B98" s="15">
        <v>6.0</v>
      </c>
      <c r="C98" s="17" t="s">
        <v>141</v>
      </c>
      <c r="D98" s="17" t="s">
        <v>143</v>
      </c>
      <c r="E98" s="17" t="s">
        <v>144</v>
      </c>
      <c r="F98" s="16" t="s">
        <v>68</v>
      </c>
      <c r="G98" s="16" t="s">
        <v>87</v>
      </c>
      <c r="H98" s="17" t="s">
        <v>147</v>
      </c>
      <c r="I98" s="16" t="s">
        <v>74</v>
      </c>
      <c r="J98" s="17" t="s">
        <v>76</v>
      </c>
      <c r="K98" s="20"/>
    </row>
    <row r="99" ht="15.75" customHeight="1">
      <c r="A99" s="14" t="s">
        <v>79</v>
      </c>
      <c r="B99" s="15">
        <v>7.0</v>
      </c>
      <c r="C99" s="17" t="s">
        <v>151</v>
      </c>
      <c r="D99" s="17" t="s">
        <v>153</v>
      </c>
      <c r="E99" s="17" t="s">
        <v>154</v>
      </c>
      <c r="F99" s="16" t="s">
        <v>68</v>
      </c>
      <c r="G99" s="16" t="s">
        <v>87</v>
      </c>
      <c r="H99" s="17" t="s">
        <v>156</v>
      </c>
      <c r="I99" s="16" t="s">
        <v>74</v>
      </c>
      <c r="J99" s="17" t="s">
        <v>76</v>
      </c>
      <c r="K99" s="20"/>
    </row>
    <row r="100" ht="15.75" customHeight="1">
      <c r="A100" s="14" t="s">
        <v>79</v>
      </c>
      <c r="B100" s="15">
        <v>8.0</v>
      </c>
      <c r="C100" s="17" t="s">
        <v>158</v>
      </c>
      <c r="D100" s="17" t="s">
        <v>160</v>
      </c>
      <c r="E100" s="17" t="s">
        <v>161</v>
      </c>
      <c r="F100" s="16" t="s">
        <v>162</v>
      </c>
      <c r="G100" s="16" t="s">
        <v>87</v>
      </c>
      <c r="H100" s="17" t="s">
        <v>163</v>
      </c>
      <c r="I100" s="16" t="s">
        <v>74</v>
      </c>
      <c r="J100" s="17" t="s">
        <v>76</v>
      </c>
      <c r="K100" s="20"/>
    </row>
    <row r="101" ht="15.75" customHeight="1">
      <c r="A101" s="14" t="s">
        <v>79</v>
      </c>
      <c r="B101" s="15">
        <v>9.0</v>
      </c>
      <c r="C101" s="17" t="s">
        <v>171</v>
      </c>
      <c r="D101" s="17" t="s">
        <v>173</v>
      </c>
      <c r="E101" s="17" t="s">
        <v>174</v>
      </c>
      <c r="F101" s="16" t="s">
        <v>162</v>
      </c>
      <c r="G101" s="16" t="s">
        <v>87</v>
      </c>
      <c r="H101" s="17" t="s">
        <v>163</v>
      </c>
      <c r="I101" s="16" t="s">
        <v>74</v>
      </c>
      <c r="J101" s="17" t="s">
        <v>76</v>
      </c>
      <c r="K101" s="20"/>
    </row>
    <row r="102" ht="15.75" customHeight="1">
      <c r="A102" s="14" t="s">
        <v>79</v>
      </c>
      <c r="B102" s="15">
        <v>10.0</v>
      </c>
      <c r="C102" s="17" t="s">
        <v>178</v>
      </c>
      <c r="D102" s="17" t="s">
        <v>179</v>
      </c>
      <c r="E102" s="17" t="s">
        <v>180</v>
      </c>
      <c r="F102" s="16" t="s">
        <v>181</v>
      </c>
      <c r="G102" s="16" t="s">
        <v>87</v>
      </c>
      <c r="H102" s="17" t="s">
        <v>182</v>
      </c>
      <c r="I102" s="16" t="s">
        <v>74</v>
      </c>
      <c r="J102" s="17" t="s">
        <v>76</v>
      </c>
      <c r="K102" s="20"/>
    </row>
    <row r="103" ht="15.75" customHeight="1">
      <c r="A103" s="14" t="s">
        <v>79</v>
      </c>
      <c r="B103" s="15">
        <v>11.0</v>
      </c>
      <c r="C103" s="17" t="s">
        <v>185</v>
      </c>
      <c r="D103" s="17" t="s">
        <v>187</v>
      </c>
      <c r="E103" s="17" t="s">
        <v>188</v>
      </c>
      <c r="F103" s="16" t="s">
        <v>162</v>
      </c>
      <c r="G103" s="16" t="s">
        <v>87</v>
      </c>
      <c r="H103" s="17" t="s">
        <v>189</v>
      </c>
      <c r="I103" s="16" t="s">
        <v>74</v>
      </c>
      <c r="J103" s="17" t="s">
        <v>76</v>
      </c>
      <c r="K103" s="20"/>
    </row>
    <row r="104" ht="15.75" customHeight="1">
      <c r="A104" s="14" t="s">
        <v>79</v>
      </c>
      <c r="B104" s="15">
        <v>12.0</v>
      </c>
      <c r="C104" s="17" t="s">
        <v>191</v>
      </c>
      <c r="D104" s="17" t="s">
        <v>739</v>
      </c>
      <c r="E104" s="17" t="s">
        <v>193</v>
      </c>
      <c r="F104" s="16" t="s">
        <v>68</v>
      </c>
      <c r="G104" s="16" t="s">
        <v>87</v>
      </c>
      <c r="H104" s="17" t="s">
        <v>195</v>
      </c>
      <c r="I104" s="16" t="s">
        <v>74</v>
      </c>
      <c r="J104" s="17" t="s">
        <v>76</v>
      </c>
      <c r="K104" s="20"/>
    </row>
    <row r="105" ht="15.75" customHeight="1">
      <c r="A105" s="14" t="s">
        <v>79</v>
      </c>
      <c r="B105" s="15">
        <v>13.0</v>
      </c>
      <c r="C105" s="17" t="s">
        <v>198</v>
      </c>
      <c r="D105" s="17" t="s">
        <v>200</v>
      </c>
      <c r="E105" s="17" t="s">
        <v>202</v>
      </c>
      <c r="F105" s="16" t="s">
        <v>162</v>
      </c>
      <c r="G105" s="16" t="s">
        <v>87</v>
      </c>
      <c r="H105" s="17" t="s">
        <v>204</v>
      </c>
      <c r="I105" s="16" t="s">
        <v>74</v>
      </c>
      <c r="J105" s="17" t="s">
        <v>76</v>
      </c>
      <c r="K105" s="20"/>
    </row>
    <row r="106" ht="15.75" customHeight="1">
      <c r="A106" s="14" t="s">
        <v>79</v>
      </c>
      <c r="B106" s="15">
        <v>14.0</v>
      </c>
      <c r="C106" s="17" t="s">
        <v>207</v>
      </c>
      <c r="D106" s="17" t="s">
        <v>209</v>
      </c>
      <c r="E106" s="17" t="s">
        <v>211</v>
      </c>
      <c r="F106" s="16" t="s">
        <v>213</v>
      </c>
      <c r="G106" s="16" t="s">
        <v>87</v>
      </c>
      <c r="H106" s="17" t="s">
        <v>216</v>
      </c>
      <c r="I106" s="16" t="s">
        <v>74</v>
      </c>
      <c r="J106" s="17" t="s">
        <v>76</v>
      </c>
      <c r="K106" s="20"/>
    </row>
    <row r="107" ht="15.75" customHeight="1">
      <c r="A107" s="14" t="s">
        <v>79</v>
      </c>
      <c r="B107" s="15">
        <v>15.0</v>
      </c>
      <c r="C107" s="17" t="s">
        <v>223</v>
      </c>
      <c r="D107" s="17" t="s">
        <v>225</v>
      </c>
      <c r="E107" s="17" t="s">
        <v>227</v>
      </c>
      <c r="F107" s="16" t="s">
        <v>213</v>
      </c>
      <c r="G107" s="16" t="s">
        <v>87</v>
      </c>
      <c r="H107" s="17" t="s">
        <v>216</v>
      </c>
      <c r="I107" s="16" t="s">
        <v>74</v>
      </c>
      <c r="J107" s="17" t="s">
        <v>76</v>
      </c>
      <c r="K107" s="20"/>
    </row>
    <row r="108" ht="15.75" customHeight="1">
      <c r="A108" s="14" t="s">
        <v>79</v>
      </c>
      <c r="B108" s="15">
        <v>16.0</v>
      </c>
      <c r="C108" s="17" t="s">
        <v>236</v>
      </c>
      <c r="D108" s="17" t="s">
        <v>237</v>
      </c>
      <c r="E108" s="17" t="s">
        <v>239</v>
      </c>
      <c r="F108" s="16" t="s">
        <v>162</v>
      </c>
      <c r="G108" s="16" t="s">
        <v>87</v>
      </c>
      <c r="H108" s="17" t="s">
        <v>204</v>
      </c>
      <c r="I108" s="16" t="s">
        <v>74</v>
      </c>
      <c r="J108" s="17" t="s">
        <v>76</v>
      </c>
      <c r="K108" s="20"/>
    </row>
    <row r="109" ht="15.75" customHeight="1">
      <c r="A109" s="14" t="s">
        <v>79</v>
      </c>
      <c r="B109" s="15">
        <v>17.0</v>
      </c>
      <c r="C109" s="17" t="s">
        <v>247</v>
      </c>
      <c r="D109" s="17" t="s">
        <v>249</v>
      </c>
      <c r="E109" s="17" t="s">
        <v>251</v>
      </c>
      <c r="F109" s="16" t="s">
        <v>181</v>
      </c>
      <c r="G109" s="16" t="s">
        <v>87</v>
      </c>
      <c r="H109" s="17" t="s">
        <v>253</v>
      </c>
      <c r="I109" s="16" t="s">
        <v>74</v>
      </c>
      <c r="J109" s="17" t="s">
        <v>76</v>
      </c>
      <c r="K109" s="20"/>
    </row>
    <row r="110" ht="15.75" customHeight="1">
      <c r="A110" s="14" t="s">
        <v>79</v>
      </c>
      <c r="B110" s="15">
        <v>18.0</v>
      </c>
      <c r="C110" s="17" t="s">
        <v>259</v>
      </c>
      <c r="D110" s="17" t="s">
        <v>260</v>
      </c>
      <c r="E110" s="17" t="s">
        <v>262</v>
      </c>
      <c r="F110" s="16" t="s">
        <v>181</v>
      </c>
      <c r="G110" s="16" t="s">
        <v>87</v>
      </c>
      <c r="H110" s="17" t="s">
        <v>265</v>
      </c>
      <c r="I110" s="16" t="s">
        <v>74</v>
      </c>
      <c r="J110" s="17" t="s">
        <v>76</v>
      </c>
      <c r="K110" s="20"/>
    </row>
    <row r="111" ht="15.75" customHeight="1">
      <c r="A111" s="14" t="s">
        <v>79</v>
      </c>
      <c r="B111" s="15">
        <v>19.0</v>
      </c>
      <c r="C111" s="17" t="s">
        <v>270</v>
      </c>
      <c r="D111" s="17" t="s">
        <v>179</v>
      </c>
      <c r="E111" s="17" t="s">
        <v>272</v>
      </c>
      <c r="F111" s="16" t="s">
        <v>181</v>
      </c>
      <c r="G111" s="16" t="s">
        <v>87</v>
      </c>
      <c r="H111" s="17" t="s">
        <v>265</v>
      </c>
      <c r="I111" s="16" t="s">
        <v>74</v>
      </c>
      <c r="J111" s="17" t="s">
        <v>76</v>
      </c>
      <c r="K111" s="20"/>
    </row>
    <row r="112" ht="15.75" customHeight="1">
      <c r="A112" s="14" t="s">
        <v>79</v>
      </c>
      <c r="B112" s="15">
        <v>20.0</v>
      </c>
      <c r="C112" s="17" t="s">
        <v>282</v>
      </c>
      <c r="D112" s="17" t="s">
        <v>283</v>
      </c>
      <c r="E112" s="17" t="s">
        <v>284</v>
      </c>
      <c r="F112" s="16" t="s">
        <v>181</v>
      </c>
      <c r="G112" s="16" t="s">
        <v>87</v>
      </c>
      <c r="H112" s="17" t="s">
        <v>265</v>
      </c>
      <c r="I112" s="16" t="s">
        <v>74</v>
      </c>
      <c r="J112" s="17" t="s">
        <v>76</v>
      </c>
      <c r="K112" s="20"/>
    </row>
    <row r="113" ht="15.75" customHeight="1">
      <c r="A113" s="14" t="s">
        <v>79</v>
      </c>
      <c r="B113" s="15">
        <v>21.0</v>
      </c>
      <c r="C113" s="17" t="s">
        <v>294</v>
      </c>
      <c r="D113" s="17" t="s">
        <v>296</v>
      </c>
      <c r="E113" s="17" t="s">
        <v>299</v>
      </c>
      <c r="F113" s="16" t="s">
        <v>181</v>
      </c>
      <c r="G113" s="16" t="s">
        <v>87</v>
      </c>
      <c r="H113" s="17" t="s">
        <v>265</v>
      </c>
      <c r="I113" s="16" t="s">
        <v>74</v>
      </c>
      <c r="J113" s="17" t="s">
        <v>76</v>
      </c>
      <c r="K113" s="20"/>
    </row>
    <row r="114" ht="15.75" customHeight="1">
      <c r="A114" s="14" t="s">
        <v>79</v>
      </c>
      <c r="B114" s="15">
        <v>22.0</v>
      </c>
      <c r="C114" s="17" t="s">
        <v>308</v>
      </c>
      <c r="D114" s="17" t="s">
        <v>310</v>
      </c>
      <c r="E114" s="17" t="s">
        <v>312</v>
      </c>
      <c r="F114" s="16" t="s">
        <v>181</v>
      </c>
      <c r="G114" s="16" t="s">
        <v>87</v>
      </c>
      <c r="H114" s="17" t="s">
        <v>314</v>
      </c>
      <c r="I114" s="16" t="s">
        <v>74</v>
      </c>
      <c r="J114" s="17" t="s">
        <v>76</v>
      </c>
      <c r="K114" s="20"/>
    </row>
    <row r="115" ht="15.75" customHeight="1">
      <c r="A115" s="14" t="s">
        <v>79</v>
      </c>
      <c r="B115" s="15">
        <v>23.0</v>
      </c>
      <c r="C115" s="17" t="s">
        <v>319</v>
      </c>
      <c r="D115" s="17" t="s">
        <v>320</v>
      </c>
      <c r="E115" s="17" t="s">
        <v>323</v>
      </c>
      <c r="F115" s="16" t="s">
        <v>68</v>
      </c>
      <c r="G115" s="16" t="s">
        <v>72</v>
      </c>
      <c r="H115" s="17" t="s">
        <v>326</v>
      </c>
      <c r="I115" s="16" t="s">
        <v>74</v>
      </c>
      <c r="J115" s="17" t="s">
        <v>76</v>
      </c>
      <c r="K115" s="20"/>
    </row>
    <row r="116" ht="15.75" customHeight="1">
      <c r="A116" s="14" t="s">
        <v>79</v>
      </c>
      <c r="B116" s="15">
        <v>24.0</v>
      </c>
      <c r="C116" s="17" t="s">
        <v>329</v>
      </c>
      <c r="D116" s="17"/>
      <c r="E116" s="17" t="s">
        <v>331</v>
      </c>
      <c r="F116" s="16" t="s">
        <v>68</v>
      </c>
      <c r="G116" s="16" t="s">
        <v>72</v>
      </c>
      <c r="H116" s="17" t="s">
        <v>335</v>
      </c>
      <c r="I116" s="16" t="s">
        <v>74</v>
      </c>
      <c r="J116" s="17" t="s">
        <v>76</v>
      </c>
      <c r="K116" s="20"/>
    </row>
    <row r="117" ht="15.75" customHeight="1">
      <c r="A117" s="14" t="s">
        <v>79</v>
      </c>
      <c r="B117" s="15">
        <v>25.0</v>
      </c>
      <c r="C117" s="17" t="s">
        <v>339</v>
      </c>
      <c r="D117" s="17"/>
      <c r="E117" s="17" t="s">
        <v>342</v>
      </c>
      <c r="F117" s="16" t="s">
        <v>68</v>
      </c>
      <c r="G117" s="16" t="s">
        <v>72</v>
      </c>
      <c r="H117" s="17" t="s">
        <v>346</v>
      </c>
      <c r="I117" s="16" t="s">
        <v>74</v>
      </c>
      <c r="J117" s="17" t="s">
        <v>76</v>
      </c>
      <c r="K117" s="20"/>
    </row>
    <row r="118" ht="15.75" customHeight="1">
      <c r="A118" s="14" t="s">
        <v>79</v>
      </c>
      <c r="B118" s="15">
        <v>26.0</v>
      </c>
      <c r="C118" s="17" t="s">
        <v>349</v>
      </c>
      <c r="D118" s="17" t="s">
        <v>350</v>
      </c>
      <c r="E118" s="17" t="s">
        <v>351</v>
      </c>
      <c r="F118" s="16" t="s">
        <v>213</v>
      </c>
      <c r="G118" s="16" t="s">
        <v>72</v>
      </c>
      <c r="H118" s="17" t="s">
        <v>352</v>
      </c>
      <c r="I118" s="16" t="s">
        <v>74</v>
      </c>
      <c r="J118" s="17" t="s">
        <v>76</v>
      </c>
      <c r="K118" s="20"/>
    </row>
    <row r="119" ht="15.75" customHeight="1">
      <c r="A119" s="14" t="s">
        <v>97</v>
      </c>
      <c r="B119" s="15">
        <v>1.0</v>
      </c>
      <c r="C119" s="17" t="s">
        <v>840</v>
      </c>
      <c r="D119" s="17" t="s">
        <v>84</v>
      </c>
      <c r="E119" s="17" t="s">
        <v>85</v>
      </c>
      <c r="F119" s="16" t="s">
        <v>68</v>
      </c>
      <c r="G119" s="16" t="s">
        <v>87</v>
      </c>
      <c r="H119" s="17" t="s">
        <v>89</v>
      </c>
      <c r="I119" s="16" t="s">
        <v>74</v>
      </c>
      <c r="J119" s="17" t="s">
        <v>76</v>
      </c>
      <c r="K119" s="20"/>
    </row>
    <row r="120" ht="15.75" customHeight="1">
      <c r="A120" s="14" t="s">
        <v>97</v>
      </c>
      <c r="B120" s="15">
        <v>2.0</v>
      </c>
      <c r="C120" s="17" t="s">
        <v>843</v>
      </c>
      <c r="D120" s="17" t="s">
        <v>96</v>
      </c>
      <c r="E120" s="17" t="s">
        <v>100</v>
      </c>
      <c r="F120" s="16" t="s">
        <v>68</v>
      </c>
      <c r="G120" s="16" t="s">
        <v>87</v>
      </c>
      <c r="H120" s="17" t="s">
        <v>104</v>
      </c>
      <c r="I120" s="16" t="s">
        <v>74</v>
      </c>
      <c r="J120" s="17" t="s">
        <v>76</v>
      </c>
      <c r="K120" s="20"/>
    </row>
    <row r="121" ht="15.75" customHeight="1">
      <c r="A121" s="14" t="s">
        <v>97</v>
      </c>
      <c r="B121" s="15">
        <v>3.0</v>
      </c>
      <c r="C121" s="17" t="s">
        <v>847</v>
      </c>
      <c r="D121" s="17" t="s">
        <v>115</v>
      </c>
      <c r="E121" s="17" t="s">
        <v>117</v>
      </c>
      <c r="F121" s="16" t="s">
        <v>68</v>
      </c>
      <c r="G121" s="16" t="s">
        <v>87</v>
      </c>
      <c r="H121" s="17" t="s">
        <v>121</v>
      </c>
      <c r="I121" s="16" t="s">
        <v>74</v>
      </c>
      <c r="J121" s="17" t="s">
        <v>76</v>
      </c>
      <c r="K121" s="20"/>
    </row>
    <row r="122" ht="15.75" customHeight="1">
      <c r="A122" s="14" t="s">
        <v>97</v>
      </c>
      <c r="B122" s="15">
        <v>4.0</v>
      </c>
      <c r="C122" s="17" t="s">
        <v>853</v>
      </c>
      <c r="D122" s="17" t="s">
        <v>127</v>
      </c>
      <c r="E122" s="17" t="s">
        <v>129</v>
      </c>
      <c r="F122" s="16" t="s">
        <v>68</v>
      </c>
      <c r="G122" s="16" t="s">
        <v>87</v>
      </c>
      <c r="H122" s="17" t="s">
        <v>132</v>
      </c>
      <c r="I122" s="16" t="s">
        <v>74</v>
      </c>
      <c r="J122" s="17" t="s">
        <v>76</v>
      </c>
      <c r="K122" s="20"/>
    </row>
    <row r="123" ht="15.75" customHeight="1">
      <c r="A123" s="14" t="s">
        <v>97</v>
      </c>
      <c r="B123" s="15">
        <v>5.0</v>
      </c>
      <c r="C123" s="17" t="s">
        <v>858</v>
      </c>
      <c r="D123" s="17" t="s">
        <v>859</v>
      </c>
      <c r="E123" s="17" t="s">
        <v>862</v>
      </c>
      <c r="F123" s="16" t="s">
        <v>68</v>
      </c>
      <c r="G123" s="16" t="s">
        <v>864</v>
      </c>
      <c r="H123" s="17" t="s">
        <v>865</v>
      </c>
      <c r="I123" s="16" t="s">
        <v>867</v>
      </c>
      <c r="J123" s="17" t="s">
        <v>868</v>
      </c>
      <c r="K123" s="20" t="s">
        <v>869</v>
      </c>
    </row>
    <row r="124" ht="15.75" customHeight="1">
      <c r="A124" s="14" t="s">
        <v>97</v>
      </c>
      <c r="B124" s="15">
        <v>6.0</v>
      </c>
      <c r="C124" s="17" t="s">
        <v>871</v>
      </c>
      <c r="D124" s="17" t="s">
        <v>872</v>
      </c>
      <c r="E124" s="17" t="s">
        <v>873</v>
      </c>
      <c r="F124" s="16" t="s">
        <v>68</v>
      </c>
      <c r="G124" s="16" t="s">
        <v>87</v>
      </c>
      <c r="H124" s="17" t="s">
        <v>865</v>
      </c>
      <c r="I124" s="16" t="s">
        <v>380</v>
      </c>
      <c r="J124" s="17" t="s">
        <v>875</v>
      </c>
      <c r="K124" s="20"/>
    </row>
    <row r="125" ht="15.75" customHeight="1">
      <c r="A125" s="14" t="s">
        <v>97</v>
      </c>
      <c r="B125" s="15">
        <v>7.0</v>
      </c>
      <c r="C125" s="17" t="s">
        <v>877</v>
      </c>
      <c r="D125" s="17" t="s">
        <v>878</v>
      </c>
      <c r="E125" s="17" t="s">
        <v>879</v>
      </c>
      <c r="F125" s="16" t="s">
        <v>68</v>
      </c>
      <c r="G125" s="16" t="s">
        <v>87</v>
      </c>
      <c r="H125" s="17" t="s">
        <v>865</v>
      </c>
      <c r="I125" s="16" t="s">
        <v>380</v>
      </c>
      <c r="J125" s="17" t="s">
        <v>880</v>
      </c>
      <c r="K125" s="20"/>
    </row>
    <row r="126" ht="15.75" customHeight="1">
      <c r="A126" s="14" t="s">
        <v>97</v>
      </c>
      <c r="B126" s="15">
        <v>8.0</v>
      </c>
      <c r="C126" s="17" t="s">
        <v>882</v>
      </c>
      <c r="D126" s="17" t="s">
        <v>883</v>
      </c>
      <c r="E126" s="17" t="s">
        <v>884</v>
      </c>
      <c r="F126" s="16" t="s">
        <v>181</v>
      </c>
      <c r="G126" s="16" t="s">
        <v>87</v>
      </c>
      <c r="H126" s="17" t="s">
        <v>865</v>
      </c>
      <c r="I126" s="16" t="s">
        <v>74</v>
      </c>
      <c r="J126" s="17" t="s">
        <v>886</v>
      </c>
      <c r="K126" s="20"/>
    </row>
    <row r="127" ht="15.75" customHeight="1">
      <c r="A127" s="14" t="s">
        <v>97</v>
      </c>
      <c r="B127" s="15">
        <v>9.0</v>
      </c>
      <c r="C127" s="17" t="s">
        <v>887</v>
      </c>
      <c r="D127" s="17" t="s">
        <v>888</v>
      </c>
      <c r="E127" s="17" t="s">
        <v>890</v>
      </c>
      <c r="F127" s="16" t="s">
        <v>68</v>
      </c>
      <c r="G127" s="16" t="s">
        <v>87</v>
      </c>
      <c r="H127" s="17" t="s">
        <v>865</v>
      </c>
      <c r="I127" s="16" t="s">
        <v>74</v>
      </c>
      <c r="J127" s="17" t="s">
        <v>891</v>
      </c>
      <c r="K127" s="20"/>
    </row>
    <row r="128" ht="15.75" customHeight="1">
      <c r="A128" s="14" t="s">
        <v>97</v>
      </c>
      <c r="B128" s="15">
        <v>10.0</v>
      </c>
      <c r="C128" s="17" t="s">
        <v>893</v>
      </c>
      <c r="D128" s="17" t="s">
        <v>894</v>
      </c>
      <c r="E128" s="17" t="s">
        <v>895</v>
      </c>
      <c r="F128" s="16" t="s">
        <v>162</v>
      </c>
      <c r="G128" s="16" t="s">
        <v>87</v>
      </c>
      <c r="H128" s="17" t="s">
        <v>865</v>
      </c>
      <c r="I128" s="16" t="s">
        <v>380</v>
      </c>
      <c r="J128" s="17" t="s">
        <v>897</v>
      </c>
      <c r="K128" s="20"/>
    </row>
    <row r="129" ht="15.75" customHeight="1">
      <c r="A129" s="14" t="s">
        <v>97</v>
      </c>
      <c r="B129" s="15">
        <v>11.0</v>
      </c>
      <c r="C129" s="17" t="s">
        <v>898</v>
      </c>
      <c r="D129" s="17" t="s">
        <v>900</v>
      </c>
      <c r="E129" s="17" t="s">
        <v>901</v>
      </c>
      <c r="F129" s="16" t="s">
        <v>213</v>
      </c>
      <c r="G129" s="16" t="s">
        <v>87</v>
      </c>
      <c r="H129" s="17" t="s">
        <v>865</v>
      </c>
      <c r="I129" s="16" t="s">
        <v>380</v>
      </c>
      <c r="J129" s="17" t="s">
        <v>902</v>
      </c>
      <c r="K129" s="20"/>
    </row>
    <row r="130" ht="15.75" customHeight="1">
      <c r="A130" s="14" t="s">
        <v>97</v>
      </c>
      <c r="B130" s="15">
        <v>12.0</v>
      </c>
      <c r="C130" s="17" t="s">
        <v>903</v>
      </c>
      <c r="D130" s="17" t="s">
        <v>905</v>
      </c>
      <c r="E130" s="17" t="s">
        <v>906</v>
      </c>
      <c r="F130" s="16" t="s">
        <v>162</v>
      </c>
      <c r="G130" s="16" t="s">
        <v>87</v>
      </c>
      <c r="H130" s="17" t="s">
        <v>865</v>
      </c>
      <c r="I130" s="16" t="s">
        <v>380</v>
      </c>
      <c r="J130" s="17" t="s">
        <v>907</v>
      </c>
      <c r="K130" s="20"/>
    </row>
    <row r="131" ht="15.75" customHeight="1">
      <c r="A131" s="14" t="s">
        <v>97</v>
      </c>
      <c r="B131" s="15">
        <v>13.0</v>
      </c>
      <c r="C131" s="17" t="s">
        <v>909</v>
      </c>
      <c r="D131" s="17" t="s">
        <v>910</v>
      </c>
      <c r="E131" s="17" t="s">
        <v>911</v>
      </c>
      <c r="F131" s="16" t="s">
        <v>213</v>
      </c>
      <c r="G131" s="16" t="s">
        <v>87</v>
      </c>
      <c r="H131" s="17" t="s">
        <v>865</v>
      </c>
      <c r="I131" s="16" t="s">
        <v>380</v>
      </c>
      <c r="J131" s="17" t="s">
        <v>912</v>
      </c>
      <c r="K131" s="20"/>
    </row>
    <row r="132" ht="15.75" customHeight="1">
      <c r="A132" s="14" t="s">
        <v>97</v>
      </c>
      <c r="B132" s="15">
        <v>14.0</v>
      </c>
      <c r="C132" s="17" t="s">
        <v>914</v>
      </c>
      <c r="D132" s="17" t="s">
        <v>915</v>
      </c>
      <c r="E132" s="17" t="s">
        <v>916</v>
      </c>
      <c r="F132" s="16" t="s">
        <v>162</v>
      </c>
      <c r="G132" s="16" t="s">
        <v>87</v>
      </c>
      <c r="H132" s="17" t="s">
        <v>865</v>
      </c>
      <c r="I132" s="16" t="s">
        <v>74</v>
      </c>
      <c r="J132" s="17" t="s">
        <v>918</v>
      </c>
      <c r="K132" s="20"/>
    </row>
    <row r="133" ht="15.75" customHeight="1">
      <c r="A133" s="14" t="s">
        <v>97</v>
      </c>
      <c r="B133" s="15">
        <v>15.0</v>
      </c>
      <c r="C133" s="17" t="s">
        <v>595</v>
      </c>
      <c r="D133" s="17" t="s">
        <v>919</v>
      </c>
      <c r="E133" s="17" t="s">
        <v>921</v>
      </c>
      <c r="F133" s="16" t="s">
        <v>68</v>
      </c>
      <c r="G133" s="16" t="s">
        <v>87</v>
      </c>
      <c r="H133" s="17" t="s">
        <v>865</v>
      </c>
      <c r="I133" s="16" t="s">
        <v>380</v>
      </c>
      <c r="J133" s="17" t="s">
        <v>922</v>
      </c>
      <c r="K133" s="20"/>
    </row>
    <row r="134" ht="15.75" customHeight="1">
      <c r="A134" s="14" t="s">
        <v>97</v>
      </c>
      <c r="B134" s="15">
        <v>16.0</v>
      </c>
      <c r="C134" s="17" t="s">
        <v>924</v>
      </c>
      <c r="D134" s="17" t="s">
        <v>925</v>
      </c>
      <c r="E134" s="17" t="s">
        <v>926</v>
      </c>
      <c r="F134" s="16" t="s">
        <v>68</v>
      </c>
      <c r="G134" s="16" t="s">
        <v>72</v>
      </c>
      <c r="H134" s="17" t="s">
        <v>865</v>
      </c>
      <c r="I134" s="16" t="s">
        <v>380</v>
      </c>
      <c r="J134" s="17" t="s">
        <v>928</v>
      </c>
      <c r="K134" s="20"/>
    </row>
    <row r="135" ht="15.75" customHeight="1">
      <c r="A135" s="14" t="s">
        <v>97</v>
      </c>
      <c r="B135" s="15">
        <v>17.0</v>
      </c>
      <c r="C135" s="17" t="s">
        <v>929</v>
      </c>
      <c r="D135" s="17" t="s">
        <v>930</v>
      </c>
      <c r="E135" s="17" t="s">
        <v>931</v>
      </c>
      <c r="F135" s="16" t="s">
        <v>357</v>
      </c>
      <c r="G135" s="16" t="s">
        <v>87</v>
      </c>
      <c r="H135" s="17" t="s">
        <v>865</v>
      </c>
      <c r="I135" s="16" t="s">
        <v>380</v>
      </c>
      <c r="J135" s="17" t="s">
        <v>932</v>
      </c>
      <c r="K135" s="20"/>
    </row>
    <row r="136" ht="15.75" customHeight="1">
      <c r="A136" s="14" t="s">
        <v>97</v>
      </c>
      <c r="B136" s="15">
        <v>18.0</v>
      </c>
      <c r="C136" s="17" t="s">
        <v>935</v>
      </c>
      <c r="D136" s="17" t="s">
        <v>930</v>
      </c>
      <c r="E136" s="17" t="s">
        <v>937</v>
      </c>
      <c r="F136" s="16" t="s">
        <v>357</v>
      </c>
      <c r="G136" s="16" t="s">
        <v>87</v>
      </c>
      <c r="H136" s="17" t="s">
        <v>865</v>
      </c>
      <c r="I136" s="16" t="s">
        <v>380</v>
      </c>
      <c r="J136" s="17" t="s">
        <v>942</v>
      </c>
      <c r="K136" s="20"/>
    </row>
    <row r="137" ht="15.75" customHeight="1">
      <c r="A137" s="14" t="s">
        <v>97</v>
      </c>
      <c r="B137" s="15">
        <v>19.0</v>
      </c>
      <c r="C137" s="17" t="s">
        <v>379</v>
      </c>
      <c r="D137" s="17" t="s">
        <v>946</v>
      </c>
      <c r="E137" s="17" t="s">
        <v>369</v>
      </c>
      <c r="F137" s="16" t="s">
        <v>68</v>
      </c>
      <c r="G137" s="16" t="s">
        <v>371</v>
      </c>
      <c r="H137" s="17" t="s">
        <v>949</v>
      </c>
      <c r="I137" s="16" t="s">
        <v>74</v>
      </c>
      <c r="J137" s="17" t="s">
        <v>951</v>
      </c>
      <c r="K137" s="20"/>
    </row>
    <row r="138" ht="15.75" customHeight="1">
      <c r="A138" s="14" t="s">
        <v>97</v>
      </c>
      <c r="B138" s="15">
        <v>20.0</v>
      </c>
      <c r="C138" s="17" t="s">
        <v>954</v>
      </c>
      <c r="D138" s="17" t="s">
        <v>955</v>
      </c>
      <c r="E138" s="17" t="s">
        <v>956</v>
      </c>
      <c r="F138" s="16" t="s">
        <v>68</v>
      </c>
      <c r="G138" s="16" t="s">
        <v>864</v>
      </c>
      <c r="H138" s="17" t="s">
        <v>959</v>
      </c>
      <c r="I138" s="16" t="s">
        <v>74</v>
      </c>
      <c r="J138" s="17" t="s">
        <v>951</v>
      </c>
      <c r="K138" s="20"/>
    </row>
    <row r="139" ht="15.75" customHeight="1">
      <c r="A139" s="14" t="s">
        <v>97</v>
      </c>
      <c r="B139" s="15">
        <v>21.0</v>
      </c>
      <c r="C139" s="17" t="s">
        <v>963</v>
      </c>
      <c r="D139" s="17" t="s">
        <v>965</v>
      </c>
      <c r="E139" s="17" t="s">
        <v>967</v>
      </c>
      <c r="F139" s="16" t="s">
        <v>68</v>
      </c>
      <c r="G139" s="16" t="s">
        <v>970</v>
      </c>
      <c r="H139" s="17" t="s">
        <v>972</v>
      </c>
      <c r="I139" s="16" t="s">
        <v>74</v>
      </c>
      <c r="J139" s="17" t="s">
        <v>951</v>
      </c>
      <c r="K139" s="20"/>
    </row>
    <row r="140" ht="15.75" customHeight="1">
      <c r="A140" s="14" t="s">
        <v>97</v>
      </c>
      <c r="B140" s="15">
        <v>22.0</v>
      </c>
      <c r="C140" s="17" t="s">
        <v>977</v>
      </c>
      <c r="D140" s="17" t="s">
        <v>978</v>
      </c>
      <c r="E140" s="17" t="s">
        <v>979</v>
      </c>
      <c r="F140" s="16" t="s">
        <v>68</v>
      </c>
      <c r="G140" s="16" t="s">
        <v>864</v>
      </c>
      <c r="H140" s="17" t="s">
        <v>983</v>
      </c>
      <c r="I140" s="16" t="s">
        <v>74</v>
      </c>
      <c r="J140" s="17" t="s">
        <v>951</v>
      </c>
      <c r="K140" s="20"/>
    </row>
    <row r="141" ht="15.75" customHeight="1">
      <c r="A141" s="14" t="s">
        <v>97</v>
      </c>
      <c r="B141" s="15">
        <v>23.0</v>
      </c>
      <c r="C141" s="17" t="s">
        <v>988</v>
      </c>
      <c r="D141" s="17" t="s">
        <v>930</v>
      </c>
      <c r="E141" s="17" t="s">
        <v>990</v>
      </c>
      <c r="F141" s="16" t="s">
        <v>357</v>
      </c>
      <c r="G141" s="16" t="s">
        <v>864</v>
      </c>
      <c r="H141" s="17" t="s">
        <v>992</v>
      </c>
      <c r="I141" s="16" t="s">
        <v>74</v>
      </c>
      <c r="J141" s="17" t="s">
        <v>951</v>
      </c>
      <c r="K141" s="20"/>
    </row>
    <row r="142" ht="15.75" customHeight="1">
      <c r="A142" s="14" t="s">
        <v>97</v>
      </c>
      <c r="B142" s="15">
        <v>24.0</v>
      </c>
      <c r="C142" s="17" t="s">
        <v>999</v>
      </c>
      <c r="D142" s="17" t="s">
        <v>75</v>
      </c>
      <c r="E142" s="17" t="s">
        <v>1001</v>
      </c>
      <c r="F142" s="16" t="s">
        <v>357</v>
      </c>
      <c r="G142" s="16" t="s">
        <v>864</v>
      </c>
      <c r="H142" s="17" t="s">
        <v>992</v>
      </c>
      <c r="I142" s="16" t="s">
        <v>74</v>
      </c>
      <c r="J142" s="17" t="s">
        <v>951</v>
      </c>
      <c r="K142" s="20"/>
    </row>
    <row r="143" ht="15.75" customHeight="1">
      <c r="A143" s="14" t="s">
        <v>97</v>
      </c>
      <c r="B143" s="15">
        <v>25.0</v>
      </c>
      <c r="C143" s="17" t="s">
        <v>1008</v>
      </c>
      <c r="D143" s="17" t="s">
        <v>1010</v>
      </c>
      <c r="E143" s="17" t="s">
        <v>1012</v>
      </c>
      <c r="F143" s="16" t="s">
        <v>68</v>
      </c>
      <c r="G143" s="16" t="s">
        <v>72</v>
      </c>
      <c r="H143" s="17" t="s">
        <v>1014</v>
      </c>
      <c r="I143" s="16" t="s">
        <v>74</v>
      </c>
      <c r="J143" s="17" t="s">
        <v>951</v>
      </c>
      <c r="K143" s="20"/>
    </row>
    <row r="144" ht="15.75" customHeight="1">
      <c r="A144" s="14" t="s">
        <v>97</v>
      </c>
      <c r="B144" s="15">
        <v>26.0</v>
      </c>
      <c r="C144" s="17" t="s">
        <v>852</v>
      </c>
      <c r="D144" s="17" t="s">
        <v>1016</v>
      </c>
      <c r="E144" s="17" t="s">
        <v>386</v>
      </c>
      <c r="F144" s="16" t="s">
        <v>68</v>
      </c>
      <c r="G144" s="16" t="s">
        <v>371</v>
      </c>
      <c r="H144" s="17" t="s">
        <v>1018</v>
      </c>
      <c r="I144" s="16" t="s">
        <v>74</v>
      </c>
      <c r="J144" s="17" t="s">
        <v>951</v>
      </c>
      <c r="K144" s="20"/>
    </row>
    <row r="145" ht="15.75" customHeight="1">
      <c r="A145" s="14" t="s">
        <v>97</v>
      </c>
      <c r="B145" s="15">
        <v>27.0</v>
      </c>
      <c r="C145" s="17" t="s">
        <v>582</v>
      </c>
      <c r="D145" s="17" t="s">
        <v>1020</v>
      </c>
      <c r="E145" s="17" t="s">
        <v>441</v>
      </c>
      <c r="F145" s="16" t="s">
        <v>68</v>
      </c>
      <c r="G145" s="16" t="s">
        <v>371</v>
      </c>
      <c r="H145" s="17" t="s">
        <v>1022</v>
      </c>
      <c r="I145" s="16" t="s">
        <v>74</v>
      </c>
      <c r="J145" s="17" t="s">
        <v>951</v>
      </c>
      <c r="K145" s="20"/>
    </row>
    <row r="146" ht="15.75" customHeight="1">
      <c r="A146" s="14" t="s">
        <v>97</v>
      </c>
      <c r="B146" s="15">
        <v>28.0</v>
      </c>
      <c r="C146" s="17" t="s">
        <v>845</v>
      </c>
      <c r="D146" s="17" t="s">
        <v>1024</v>
      </c>
      <c r="E146" s="17" t="s">
        <v>386</v>
      </c>
      <c r="F146" s="16" t="s">
        <v>68</v>
      </c>
      <c r="G146" s="16" t="s">
        <v>371</v>
      </c>
      <c r="H146" s="17" t="s">
        <v>1026</v>
      </c>
      <c r="I146" s="16" t="s">
        <v>74</v>
      </c>
      <c r="J146" s="17" t="s">
        <v>1027</v>
      </c>
      <c r="K146" s="20"/>
    </row>
    <row r="147" ht="15.75" customHeight="1">
      <c r="A147" s="14" t="s">
        <v>97</v>
      </c>
      <c r="B147" s="15">
        <v>29.0</v>
      </c>
      <c r="C147" s="17" t="s">
        <v>1029</v>
      </c>
      <c r="D147" s="17" t="s">
        <v>1030</v>
      </c>
      <c r="E147" s="17" t="s">
        <v>392</v>
      </c>
      <c r="F147" s="16" t="s">
        <v>68</v>
      </c>
      <c r="G147" s="16" t="s">
        <v>371</v>
      </c>
      <c r="H147" s="17" t="s">
        <v>1026</v>
      </c>
      <c r="I147" s="16" t="s">
        <v>74</v>
      </c>
      <c r="J147" s="17" t="s">
        <v>1027</v>
      </c>
      <c r="K147" s="20"/>
    </row>
    <row r="148" ht="15.75" customHeight="1">
      <c r="A148" s="14" t="s">
        <v>97</v>
      </c>
      <c r="B148" s="15">
        <v>30.0</v>
      </c>
      <c r="C148" s="17" t="s">
        <v>1032</v>
      </c>
      <c r="D148" s="17" t="s">
        <v>1033</v>
      </c>
      <c r="E148" s="17" t="s">
        <v>1034</v>
      </c>
      <c r="F148" s="16" t="s">
        <v>181</v>
      </c>
      <c r="G148" s="16" t="s">
        <v>72</v>
      </c>
      <c r="H148" s="17" t="s">
        <v>1026</v>
      </c>
      <c r="I148" s="16" t="s">
        <v>74</v>
      </c>
      <c r="J148" s="17" t="s">
        <v>1027</v>
      </c>
      <c r="K148" s="20"/>
    </row>
    <row r="149" ht="15.75" customHeight="1">
      <c r="A149" s="14" t="s">
        <v>97</v>
      </c>
      <c r="B149" s="15">
        <v>31.0</v>
      </c>
      <c r="C149" s="17" t="s">
        <v>1035</v>
      </c>
      <c r="D149" s="17" t="s">
        <v>1036</v>
      </c>
      <c r="E149" s="17" t="s">
        <v>1037</v>
      </c>
      <c r="F149" s="16" t="s">
        <v>68</v>
      </c>
      <c r="G149" s="16" t="s">
        <v>72</v>
      </c>
      <c r="H149" s="17" t="s">
        <v>1026</v>
      </c>
      <c r="I149" s="16" t="s">
        <v>74</v>
      </c>
      <c r="J149" s="17" t="s">
        <v>1027</v>
      </c>
      <c r="K149" s="20"/>
    </row>
    <row r="150" ht="15.75" customHeight="1">
      <c r="A150" s="14" t="s">
        <v>97</v>
      </c>
      <c r="B150" s="15">
        <v>32.0</v>
      </c>
      <c r="C150" s="17" t="s">
        <v>849</v>
      </c>
      <c r="D150" s="17" t="s">
        <v>1038</v>
      </c>
      <c r="E150" s="17" t="s">
        <v>386</v>
      </c>
      <c r="F150" s="16" t="s">
        <v>68</v>
      </c>
      <c r="G150" s="16" t="s">
        <v>371</v>
      </c>
      <c r="H150" s="17" t="s">
        <v>1039</v>
      </c>
      <c r="I150" s="16" t="s">
        <v>74</v>
      </c>
      <c r="J150" s="17" t="s">
        <v>1027</v>
      </c>
      <c r="K150" s="20"/>
    </row>
    <row r="151" ht="15.75" customHeight="1">
      <c r="A151" s="14" t="s">
        <v>97</v>
      </c>
      <c r="B151" s="15">
        <v>33.0</v>
      </c>
      <c r="C151" s="17" t="s">
        <v>1041</v>
      </c>
      <c r="D151" s="17" t="s">
        <v>1042</v>
      </c>
      <c r="E151" s="17" t="s">
        <v>392</v>
      </c>
      <c r="F151" s="16" t="s">
        <v>68</v>
      </c>
      <c r="G151" s="16" t="s">
        <v>371</v>
      </c>
      <c r="H151" s="17" t="s">
        <v>1039</v>
      </c>
      <c r="I151" s="16" t="s">
        <v>74</v>
      </c>
      <c r="J151" s="17" t="s">
        <v>1027</v>
      </c>
      <c r="K151" s="20"/>
    </row>
    <row r="152" ht="15.75" customHeight="1">
      <c r="A152" s="14" t="s">
        <v>97</v>
      </c>
      <c r="B152" s="15">
        <v>34.0</v>
      </c>
      <c r="C152" s="17" t="s">
        <v>1040</v>
      </c>
      <c r="D152" s="17" t="s">
        <v>1044</v>
      </c>
      <c r="E152" s="17" t="s">
        <v>1034</v>
      </c>
      <c r="F152" s="16" t="s">
        <v>181</v>
      </c>
      <c r="G152" s="16" t="s">
        <v>72</v>
      </c>
      <c r="H152" s="17" t="s">
        <v>1039</v>
      </c>
      <c r="I152" s="16" t="s">
        <v>74</v>
      </c>
      <c r="J152" s="17" t="s">
        <v>1027</v>
      </c>
      <c r="K152" s="20"/>
    </row>
    <row r="153" ht="15.75" customHeight="1">
      <c r="A153" s="14" t="s">
        <v>97</v>
      </c>
      <c r="B153" s="15">
        <v>35.0</v>
      </c>
      <c r="C153" s="17" t="s">
        <v>1043</v>
      </c>
      <c r="D153" s="17" t="s">
        <v>1047</v>
      </c>
      <c r="E153" s="17" t="s">
        <v>1037</v>
      </c>
      <c r="F153" s="16" t="s">
        <v>68</v>
      </c>
      <c r="G153" s="16" t="s">
        <v>72</v>
      </c>
      <c r="H153" s="17" t="s">
        <v>1039</v>
      </c>
      <c r="I153" s="16" t="s">
        <v>74</v>
      </c>
      <c r="J153" s="17" t="s">
        <v>1027</v>
      </c>
      <c r="K153" s="20"/>
    </row>
    <row r="154" ht="15.75" customHeight="1">
      <c r="A154" s="14" t="s">
        <v>97</v>
      </c>
      <c r="B154" s="15">
        <v>36.0</v>
      </c>
      <c r="C154" s="17" t="s">
        <v>1049</v>
      </c>
      <c r="D154" s="17" t="s">
        <v>1050</v>
      </c>
      <c r="E154" s="17" t="s">
        <v>386</v>
      </c>
      <c r="F154" s="16" t="s">
        <v>68</v>
      </c>
      <c r="G154" s="16" t="s">
        <v>371</v>
      </c>
      <c r="H154" s="17" t="s">
        <v>1051</v>
      </c>
      <c r="I154" s="16" t="s">
        <v>74</v>
      </c>
      <c r="J154" s="17" t="s">
        <v>1027</v>
      </c>
      <c r="K154" s="20"/>
    </row>
    <row r="155" ht="15.75" customHeight="1">
      <c r="A155" s="14" t="s">
        <v>97</v>
      </c>
      <c r="B155" s="15">
        <v>37.0</v>
      </c>
      <c r="C155" s="17" t="s">
        <v>1048</v>
      </c>
      <c r="D155" s="17" t="s">
        <v>1055</v>
      </c>
      <c r="E155" s="17" t="s">
        <v>392</v>
      </c>
      <c r="F155" s="16" t="s">
        <v>68</v>
      </c>
      <c r="G155" s="16" t="s">
        <v>371</v>
      </c>
      <c r="H155" s="17" t="s">
        <v>1051</v>
      </c>
      <c r="I155" s="16" t="s">
        <v>74</v>
      </c>
      <c r="J155" s="17" t="s">
        <v>1027</v>
      </c>
      <c r="K155" s="20"/>
    </row>
    <row r="156" ht="15.75" customHeight="1">
      <c r="A156" s="14" t="s">
        <v>97</v>
      </c>
      <c r="B156" s="15">
        <v>38.0</v>
      </c>
      <c r="C156" s="17" t="s">
        <v>1045</v>
      </c>
      <c r="D156" s="17" t="s">
        <v>1044</v>
      </c>
      <c r="E156" s="17" t="s">
        <v>1034</v>
      </c>
      <c r="F156" s="16" t="s">
        <v>181</v>
      </c>
      <c r="G156" s="16" t="s">
        <v>72</v>
      </c>
      <c r="H156" s="17" t="s">
        <v>1051</v>
      </c>
      <c r="I156" s="16" t="s">
        <v>74</v>
      </c>
      <c r="J156" s="17" t="s">
        <v>1027</v>
      </c>
      <c r="K156" s="20"/>
    </row>
    <row r="157" ht="15.75" customHeight="1">
      <c r="A157" s="14" t="s">
        <v>97</v>
      </c>
      <c r="B157" s="15">
        <v>39.0</v>
      </c>
      <c r="C157" s="17" t="s">
        <v>1046</v>
      </c>
      <c r="D157" s="17" t="s">
        <v>1073</v>
      </c>
      <c r="E157" s="17" t="s">
        <v>1037</v>
      </c>
      <c r="F157" s="16" t="s">
        <v>68</v>
      </c>
      <c r="G157" s="16" t="s">
        <v>72</v>
      </c>
      <c r="H157" s="17" t="s">
        <v>1051</v>
      </c>
      <c r="I157" s="16" t="s">
        <v>74</v>
      </c>
      <c r="J157" s="17" t="s">
        <v>1027</v>
      </c>
      <c r="K157" s="20"/>
    </row>
    <row r="158" ht="15.75" customHeight="1">
      <c r="A158" s="14" t="s">
        <v>97</v>
      </c>
      <c r="B158" s="15">
        <v>40.0</v>
      </c>
      <c r="C158" s="17" t="s">
        <v>1081</v>
      </c>
      <c r="D158" s="17" t="s">
        <v>1084</v>
      </c>
      <c r="E158" s="17" t="s">
        <v>386</v>
      </c>
      <c r="F158" s="16" t="s">
        <v>68</v>
      </c>
      <c r="G158" s="16" t="s">
        <v>371</v>
      </c>
      <c r="H158" s="17" t="s">
        <v>1086</v>
      </c>
      <c r="I158" s="16" t="s">
        <v>74</v>
      </c>
      <c r="J158" s="17" t="s">
        <v>1027</v>
      </c>
      <c r="K158" s="20"/>
    </row>
    <row r="159" ht="15.75" customHeight="1">
      <c r="A159" s="14" t="s">
        <v>97</v>
      </c>
      <c r="B159" s="15">
        <v>41.0</v>
      </c>
      <c r="C159" s="17" t="s">
        <v>1059</v>
      </c>
      <c r="D159" s="17" t="s">
        <v>1090</v>
      </c>
      <c r="E159" s="17" t="s">
        <v>392</v>
      </c>
      <c r="F159" s="16" t="s">
        <v>68</v>
      </c>
      <c r="G159" s="16" t="s">
        <v>371</v>
      </c>
      <c r="H159" s="17" t="s">
        <v>1086</v>
      </c>
      <c r="I159" s="16" t="s">
        <v>74</v>
      </c>
      <c r="J159" s="17" t="s">
        <v>1027</v>
      </c>
      <c r="K159" s="20"/>
    </row>
    <row r="160" ht="15.75" customHeight="1">
      <c r="A160" s="14" t="s">
        <v>97</v>
      </c>
      <c r="B160" s="15">
        <v>42.0</v>
      </c>
      <c r="C160" s="17" t="s">
        <v>1052</v>
      </c>
      <c r="D160" s="17" t="s">
        <v>1098</v>
      </c>
      <c r="E160" s="17" t="s">
        <v>1034</v>
      </c>
      <c r="F160" s="16" t="s">
        <v>181</v>
      </c>
      <c r="G160" s="16" t="s">
        <v>72</v>
      </c>
      <c r="H160" s="17" t="s">
        <v>1086</v>
      </c>
      <c r="I160" s="16" t="s">
        <v>74</v>
      </c>
      <c r="J160" s="17" t="s">
        <v>1027</v>
      </c>
      <c r="K160" s="20"/>
    </row>
    <row r="161" ht="15.75" customHeight="1">
      <c r="A161" s="14" t="s">
        <v>97</v>
      </c>
      <c r="B161" s="15">
        <v>43.0</v>
      </c>
      <c r="C161" s="17" t="s">
        <v>1054</v>
      </c>
      <c r="D161" s="17" t="s">
        <v>1073</v>
      </c>
      <c r="E161" s="17" t="s">
        <v>1037</v>
      </c>
      <c r="F161" s="16" t="s">
        <v>68</v>
      </c>
      <c r="G161" s="16" t="s">
        <v>72</v>
      </c>
      <c r="H161" s="17" t="s">
        <v>1086</v>
      </c>
      <c r="I161" s="16" t="s">
        <v>74</v>
      </c>
      <c r="J161" s="17" t="s">
        <v>1027</v>
      </c>
      <c r="K161" s="20"/>
    </row>
    <row r="162" ht="15.75" customHeight="1">
      <c r="A162" s="14" t="s">
        <v>97</v>
      </c>
      <c r="B162" s="15">
        <v>44.0</v>
      </c>
      <c r="C162" s="17" t="s">
        <v>1108</v>
      </c>
      <c r="D162" s="17" t="s">
        <v>1109</v>
      </c>
      <c r="E162" s="17" t="s">
        <v>386</v>
      </c>
      <c r="F162" s="16" t="s">
        <v>68</v>
      </c>
      <c r="G162" s="16" t="s">
        <v>371</v>
      </c>
      <c r="H162" s="17" t="s">
        <v>1110</v>
      </c>
      <c r="I162" s="16" t="s">
        <v>74</v>
      </c>
      <c r="J162" s="17" t="s">
        <v>1027</v>
      </c>
      <c r="K162" s="20"/>
    </row>
    <row r="163" ht="15.75" customHeight="1">
      <c r="A163" s="14" t="s">
        <v>97</v>
      </c>
      <c r="B163" s="15">
        <v>45.0</v>
      </c>
      <c r="C163" s="17" t="s">
        <v>1078</v>
      </c>
      <c r="D163" s="17" t="s">
        <v>1090</v>
      </c>
      <c r="E163" s="17" t="s">
        <v>392</v>
      </c>
      <c r="F163" s="16" t="s">
        <v>68</v>
      </c>
      <c r="G163" s="16" t="s">
        <v>371</v>
      </c>
      <c r="H163" s="17" t="s">
        <v>1110</v>
      </c>
      <c r="I163" s="16" t="s">
        <v>74</v>
      </c>
      <c r="J163" s="17" t="s">
        <v>1027</v>
      </c>
      <c r="K163" s="20"/>
    </row>
    <row r="164" ht="15.75" customHeight="1">
      <c r="A164" s="14" t="s">
        <v>97</v>
      </c>
      <c r="B164" s="15">
        <v>46.0</v>
      </c>
      <c r="C164" s="17" t="s">
        <v>1065</v>
      </c>
      <c r="D164" s="17" t="s">
        <v>1044</v>
      </c>
      <c r="E164" s="17" t="s">
        <v>1034</v>
      </c>
      <c r="F164" s="16" t="s">
        <v>181</v>
      </c>
      <c r="G164" s="16" t="s">
        <v>72</v>
      </c>
      <c r="H164" s="17" t="s">
        <v>1110</v>
      </c>
      <c r="I164" s="16" t="s">
        <v>74</v>
      </c>
      <c r="J164" s="17" t="s">
        <v>1027</v>
      </c>
      <c r="K164" s="20"/>
    </row>
    <row r="165" ht="15.75" customHeight="1">
      <c r="A165" s="14" t="s">
        <v>97</v>
      </c>
      <c r="B165" s="15">
        <v>47.0</v>
      </c>
      <c r="C165" s="17" t="s">
        <v>1071</v>
      </c>
      <c r="D165" s="17" t="s">
        <v>1073</v>
      </c>
      <c r="E165" s="17" t="s">
        <v>1037</v>
      </c>
      <c r="F165" s="16" t="s">
        <v>68</v>
      </c>
      <c r="G165" s="16" t="s">
        <v>72</v>
      </c>
      <c r="H165" s="17" t="s">
        <v>1110</v>
      </c>
      <c r="I165" s="16" t="s">
        <v>74</v>
      </c>
      <c r="J165" s="17" t="s">
        <v>1027</v>
      </c>
      <c r="K165" s="20"/>
    </row>
    <row r="166" ht="15.75" customHeight="1">
      <c r="A166" s="14" t="s">
        <v>97</v>
      </c>
      <c r="B166" s="15">
        <v>48.0</v>
      </c>
      <c r="C166" s="17" t="s">
        <v>1116</v>
      </c>
      <c r="D166" s="17" t="s">
        <v>1117</v>
      </c>
      <c r="E166" s="17" t="s">
        <v>386</v>
      </c>
      <c r="F166" s="16" t="s">
        <v>68</v>
      </c>
      <c r="G166" s="16" t="s">
        <v>371</v>
      </c>
      <c r="H166" s="17" t="s">
        <v>1118</v>
      </c>
      <c r="I166" s="16" t="s">
        <v>74</v>
      </c>
      <c r="J166" s="17" t="s">
        <v>1027</v>
      </c>
      <c r="K166" s="20"/>
    </row>
    <row r="167" ht="15.75" customHeight="1">
      <c r="A167" s="14" t="s">
        <v>97</v>
      </c>
      <c r="B167" s="15">
        <v>49.0</v>
      </c>
      <c r="C167" s="17" t="s">
        <v>1120</v>
      </c>
      <c r="D167" s="17" t="s">
        <v>1055</v>
      </c>
      <c r="E167" s="17" t="s">
        <v>392</v>
      </c>
      <c r="F167" s="16" t="s">
        <v>68</v>
      </c>
      <c r="G167" s="16" t="s">
        <v>371</v>
      </c>
      <c r="H167" s="17" t="s">
        <v>1118</v>
      </c>
      <c r="I167" s="16" t="s">
        <v>74</v>
      </c>
      <c r="J167" s="17" t="s">
        <v>1027</v>
      </c>
      <c r="K167" s="20"/>
    </row>
    <row r="168" ht="15.75" customHeight="1">
      <c r="A168" s="14" t="s">
        <v>97</v>
      </c>
      <c r="B168" s="15">
        <v>50.0</v>
      </c>
      <c r="C168" s="17" t="s">
        <v>1123</v>
      </c>
      <c r="D168" s="17" t="s">
        <v>1124</v>
      </c>
      <c r="E168" s="17" t="s">
        <v>1034</v>
      </c>
      <c r="F168" s="16" t="s">
        <v>181</v>
      </c>
      <c r="G168" s="16" t="s">
        <v>72</v>
      </c>
      <c r="H168" s="17" t="s">
        <v>1118</v>
      </c>
      <c r="I168" s="16" t="s">
        <v>74</v>
      </c>
      <c r="J168" s="17" t="s">
        <v>1027</v>
      </c>
      <c r="K168" s="20"/>
    </row>
    <row r="169" ht="15.75" customHeight="1">
      <c r="A169" s="14" t="s">
        <v>97</v>
      </c>
      <c r="B169" s="15">
        <v>51.0</v>
      </c>
      <c r="C169" s="17" t="s">
        <v>1083</v>
      </c>
      <c r="D169" s="17" t="s">
        <v>1073</v>
      </c>
      <c r="E169" s="17" t="s">
        <v>1037</v>
      </c>
      <c r="F169" s="16" t="s">
        <v>68</v>
      </c>
      <c r="G169" s="16" t="s">
        <v>72</v>
      </c>
      <c r="H169" s="17" t="s">
        <v>1118</v>
      </c>
      <c r="I169" s="16" t="s">
        <v>74</v>
      </c>
      <c r="J169" s="17" t="s">
        <v>1027</v>
      </c>
      <c r="K169" s="20"/>
    </row>
    <row r="170" ht="15.75" customHeight="1">
      <c r="A170" s="14" t="s">
        <v>97</v>
      </c>
      <c r="B170" s="15">
        <v>52.0</v>
      </c>
      <c r="C170" s="17" t="s">
        <v>1127</v>
      </c>
      <c r="D170" s="17" t="s">
        <v>1128</v>
      </c>
      <c r="E170" s="17" t="s">
        <v>386</v>
      </c>
      <c r="F170" s="16" t="s">
        <v>68</v>
      </c>
      <c r="G170" s="16" t="s">
        <v>371</v>
      </c>
      <c r="H170" s="17" t="s">
        <v>1130</v>
      </c>
      <c r="I170" s="16" t="s">
        <v>74</v>
      </c>
      <c r="J170" s="17" t="s">
        <v>1027</v>
      </c>
      <c r="K170" s="20"/>
    </row>
    <row r="171" ht="15.75" customHeight="1">
      <c r="A171" s="14" t="s">
        <v>97</v>
      </c>
      <c r="B171" s="15">
        <v>53.0</v>
      </c>
      <c r="C171" s="17" t="s">
        <v>1132</v>
      </c>
      <c r="D171" s="17" t="s">
        <v>1090</v>
      </c>
      <c r="E171" s="17" t="s">
        <v>392</v>
      </c>
      <c r="F171" s="16" t="s">
        <v>68</v>
      </c>
      <c r="G171" s="16" t="s">
        <v>371</v>
      </c>
      <c r="H171" s="17" t="s">
        <v>1130</v>
      </c>
      <c r="I171" s="16" t="s">
        <v>74</v>
      </c>
      <c r="J171" s="17" t="s">
        <v>1027</v>
      </c>
      <c r="K171" s="20"/>
    </row>
    <row r="172" ht="15.75" customHeight="1">
      <c r="A172" s="14" t="s">
        <v>97</v>
      </c>
      <c r="B172" s="15">
        <v>54.0</v>
      </c>
      <c r="C172" s="17" t="s">
        <v>1135</v>
      </c>
      <c r="D172" s="17" t="s">
        <v>1044</v>
      </c>
      <c r="E172" s="17" t="s">
        <v>1034</v>
      </c>
      <c r="F172" s="16" t="s">
        <v>181</v>
      </c>
      <c r="G172" s="16" t="s">
        <v>72</v>
      </c>
      <c r="H172" s="17" t="s">
        <v>1130</v>
      </c>
      <c r="I172" s="16" t="s">
        <v>74</v>
      </c>
      <c r="J172" s="17" t="s">
        <v>1027</v>
      </c>
      <c r="K172" s="20"/>
    </row>
    <row r="173" ht="15.75" customHeight="1">
      <c r="A173" s="14" t="s">
        <v>97</v>
      </c>
      <c r="B173" s="15">
        <v>55.0</v>
      </c>
      <c r="C173" s="17" t="s">
        <v>1088</v>
      </c>
      <c r="D173" s="17" t="s">
        <v>1138</v>
      </c>
      <c r="E173" s="17" t="s">
        <v>1037</v>
      </c>
      <c r="F173" s="16" t="s">
        <v>68</v>
      </c>
      <c r="G173" s="16" t="s">
        <v>72</v>
      </c>
      <c r="H173" s="17" t="s">
        <v>1130</v>
      </c>
      <c r="I173" s="16" t="s">
        <v>74</v>
      </c>
      <c r="J173" s="17" t="s">
        <v>1027</v>
      </c>
      <c r="K173" s="20"/>
    </row>
    <row r="174" ht="15.75" customHeight="1">
      <c r="A174" s="14" t="s">
        <v>97</v>
      </c>
      <c r="B174" s="15">
        <v>56.0</v>
      </c>
      <c r="C174" s="17" t="s">
        <v>1140</v>
      </c>
      <c r="D174" s="17" t="s">
        <v>1141</v>
      </c>
      <c r="E174" s="17" t="s">
        <v>386</v>
      </c>
      <c r="F174" s="16" t="s">
        <v>68</v>
      </c>
      <c r="G174" s="16" t="s">
        <v>371</v>
      </c>
      <c r="H174" s="17" t="s">
        <v>1142</v>
      </c>
      <c r="I174" s="16" t="s">
        <v>74</v>
      </c>
      <c r="J174" s="17" t="s">
        <v>1027</v>
      </c>
      <c r="K174" s="20"/>
    </row>
    <row r="175" ht="15.75" customHeight="1">
      <c r="A175" s="14" t="s">
        <v>97</v>
      </c>
      <c r="B175" s="15">
        <v>57.0</v>
      </c>
      <c r="C175" s="17" t="s">
        <v>1144</v>
      </c>
      <c r="D175" s="17" t="s">
        <v>1090</v>
      </c>
      <c r="E175" s="17" t="s">
        <v>392</v>
      </c>
      <c r="F175" s="16" t="s">
        <v>68</v>
      </c>
      <c r="G175" s="16" t="s">
        <v>371</v>
      </c>
      <c r="H175" s="17" t="s">
        <v>1142</v>
      </c>
      <c r="I175" s="16" t="s">
        <v>74</v>
      </c>
      <c r="J175" s="17" t="s">
        <v>1027</v>
      </c>
      <c r="K175" s="20"/>
    </row>
    <row r="176" ht="15.75" customHeight="1">
      <c r="A176" s="14" t="s">
        <v>97</v>
      </c>
      <c r="B176" s="15">
        <v>58.0</v>
      </c>
      <c r="C176" s="17" t="s">
        <v>1147</v>
      </c>
      <c r="D176" s="17" t="s">
        <v>1148</v>
      </c>
      <c r="E176" s="17" t="s">
        <v>1034</v>
      </c>
      <c r="F176" s="16" t="s">
        <v>181</v>
      </c>
      <c r="G176" s="16" t="s">
        <v>72</v>
      </c>
      <c r="H176" s="17" t="s">
        <v>1142</v>
      </c>
      <c r="I176" s="16" t="s">
        <v>74</v>
      </c>
      <c r="J176" s="17" t="s">
        <v>1027</v>
      </c>
      <c r="K176" s="20"/>
    </row>
    <row r="177" ht="15.75" customHeight="1">
      <c r="A177" s="14" t="s">
        <v>97</v>
      </c>
      <c r="B177" s="15">
        <v>59.0</v>
      </c>
      <c r="C177" s="17" t="s">
        <v>1094</v>
      </c>
      <c r="D177" s="17" t="s">
        <v>1150</v>
      </c>
      <c r="E177" s="17" t="s">
        <v>1037</v>
      </c>
      <c r="F177" s="16" t="s">
        <v>68</v>
      </c>
      <c r="G177" s="16" t="s">
        <v>72</v>
      </c>
      <c r="H177" s="17" t="s">
        <v>1142</v>
      </c>
      <c r="I177" s="16" t="s">
        <v>74</v>
      </c>
      <c r="J177" s="17" t="s">
        <v>1027</v>
      </c>
      <c r="K177" s="20"/>
    </row>
    <row r="178" ht="15.75" customHeight="1">
      <c r="A178" s="14" t="s">
        <v>97</v>
      </c>
      <c r="B178" s="15">
        <v>60.0</v>
      </c>
      <c r="C178" s="17" t="s">
        <v>1153</v>
      </c>
      <c r="D178" s="17" t="s">
        <v>1154</v>
      </c>
      <c r="E178" s="17" t="s">
        <v>386</v>
      </c>
      <c r="F178" s="16" t="s">
        <v>68</v>
      </c>
      <c r="G178" s="16" t="s">
        <v>371</v>
      </c>
      <c r="H178" s="17" t="s">
        <v>1155</v>
      </c>
      <c r="I178" s="16" t="s">
        <v>74</v>
      </c>
      <c r="J178" s="17" t="s">
        <v>1027</v>
      </c>
      <c r="K178" s="20"/>
    </row>
    <row r="179" ht="15.75" customHeight="1">
      <c r="A179" s="14" t="s">
        <v>97</v>
      </c>
      <c r="B179" s="15">
        <v>61.0</v>
      </c>
      <c r="C179" s="17" t="s">
        <v>1157</v>
      </c>
      <c r="D179" s="17" t="s">
        <v>1159</v>
      </c>
      <c r="E179" s="17" t="s">
        <v>392</v>
      </c>
      <c r="F179" s="16" t="s">
        <v>68</v>
      </c>
      <c r="G179" s="16" t="s">
        <v>371</v>
      </c>
      <c r="H179" s="17" t="s">
        <v>1155</v>
      </c>
      <c r="I179" s="16" t="s">
        <v>74</v>
      </c>
      <c r="J179" s="17" t="s">
        <v>1027</v>
      </c>
      <c r="K179" s="20"/>
    </row>
    <row r="180" ht="15.75" customHeight="1">
      <c r="A180" s="14" t="s">
        <v>97</v>
      </c>
      <c r="B180" s="15">
        <v>62.0</v>
      </c>
      <c r="C180" s="17" t="s">
        <v>1166</v>
      </c>
      <c r="D180" s="17" t="s">
        <v>1167</v>
      </c>
      <c r="E180" s="17" t="s">
        <v>1034</v>
      </c>
      <c r="F180" s="16" t="s">
        <v>181</v>
      </c>
      <c r="G180" s="16" t="s">
        <v>72</v>
      </c>
      <c r="H180" s="17" t="s">
        <v>1155</v>
      </c>
      <c r="I180" s="16" t="s">
        <v>74</v>
      </c>
      <c r="J180" s="17" t="s">
        <v>1027</v>
      </c>
      <c r="K180" s="20"/>
    </row>
    <row r="181" ht="15.75" customHeight="1">
      <c r="A181" s="14" t="s">
        <v>97</v>
      </c>
      <c r="B181" s="15">
        <v>63.0</v>
      </c>
      <c r="C181" s="17" t="s">
        <v>1176</v>
      </c>
      <c r="D181" s="17" t="s">
        <v>1177</v>
      </c>
      <c r="E181" s="17" t="s">
        <v>1037</v>
      </c>
      <c r="F181" s="16" t="s">
        <v>68</v>
      </c>
      <c r="G181" s="16" t="s">
        <v>72</v>
      </c>
      <c r="H181" s="17" t="s">
        <v>1155</v>
      </c>
      <c r="I181" s="16" t="s">
        <v>74</v>
      </c>
      <c r="J181" s="17" t="s">
        <v>1027</v>
      </c>
      <c r="K181" s="20"/>
    </row>
    <row r="182" ht="15.75" customHeight="1">
      <c r="A182" s="14" t="s">
        <v>97</v>
      </c>
      <c r="B182" s="15">
        <v>64.0</v>
      </c>
      <c r="C182" s="17" t="s">
        <v>1186</v>
      </c>
      <c r="D182" s="17" t="s">
        <v>1187</v>
      </c>
      <c r="E182" s="17" t="s">
        <v>386</v>
      </c>
      <c r="F182" s="16" t="s">
        <v>68</v>
      </c>
      <c r="G182" s="16" t="s">
        <v>371</v>
      </c>
      <c r="H182" s="17" t="s">
        <v>1190</v>
      </c>
      <c r="I182" s="16" t="s">
        <v>74</v>
      </c>
      <c r="J182" s="17" t="s">
        <v>1027</v>
      </c>
      <c r="K182" s="20"/>
    </row>
    <row r="183" ht="15.75" customHeight="1">
      <c r="A183" s="14" t="s">
        <v>97</v>
      </c>
      <c r="B183" s="15">
        <v>65.0</v>
      </c>
      <c r="C183" s="17" t="s">
        <v>1196</v>
      </c>
      <c r="D183" s="17" t="s">
        <v>1159</v>
      </c>
      <c r="E183" s="17" t="s">
        <v>392</v>
      </c>
      <c r="F183" s="16" t="s">
        <v>68</v>
      </c>
      <c r="G183" s="16" t="s">
        <v>371</v>
      </c>
      <c r="H183" s="17" t="s">
        <v>1190</v>
      </c>
      <c r="I183" s="16" t="s">
        <v>74</v>
      </c>
      <c r="J183" s="17" t="s">
        <v>1027</v>
      </c>
      <c r="K183" s="20"/>
    </row>
    <row r="184" ht="15.75" customHeight="1">
      <c r="A184" s="14" t="s">
        <v>97</v>
      </c>
      <c r="B184" s="15">
        <v>66.0</v>
      </c>
      <c r="C184" s="17" t="s">
        <v>1199</v>
      </c>
      <c r="D184" s="17" t="s">
        <v>1167</v>
      </c>
      <c r="E184" s="17" t="s">
        <v>1034</v>
      </c>
      <c r="F184" s="16" t="s">
        <v>181</v>
      </c>
      <c r="G184" s="16" t="s">
        <v>72</v>
      </c>
      <c r="H184" s="17" t="s">
        <v>1190</v>
      </c>
      <c r="I184" s="16" t="s">
        <v>74</v>
      </c>
      <c r="J184" s="17" t="s">
        <v>1027</v>
      </c>
      <c r="K184" s="20"/>
    </row>
    <row r="185" ht="15.75" customHeight="1">
      <c r="A185" s="14" t="s">
        <v>97</v>
      </c>
      <c r="B185" s="15">
        <v>67.0</v>
      </c>
      <c r="C185" s="17" t="s">
        <v>1201</v>
      </c>
      <c r="D185" s="17" t="s">
        <v>1203</v>
      </c>
      <c r="E185" s="17" t="s">
        <v>1037</v>
      </c>
      <c r="F185" s="16" t="s">
        <v>68</v>
      </c>
      <c r="G185" s="16" t="s">
        <v>72</v>
      </c>
      <c r="H185" s="17" t="s">
        <v>1190</v>
      </c>
      <c r="I185" s="16" t="s">
        <v>74</v>
      </c>
      <c r="J185" s="17" t="s">
        <v>1027</v>
      </c>
      <c r="K185" s="20"/>
    </row>
    <row r="186" ht="15.75" customHeight="1">
      <c r="A186" s="14" t="s">
        <v>97</v>
      </c>
      <c r="B186" s="15">
        <v>68.0</v>
      </c>
      <c r="C186" s="17" t="s">
        <v>1204</v>
      </c>
      <c r="D186" s="17" t="s">
        <v>1205</v>
      </c>
      <c r="E186" s="17" t="s">
        <v>386</v>
      </c>
      <c r="F186" s="16" t="s">
        <v>68</v>
      </c>
      <c r="G186" s="16" t="s">
        <v>371</v>
      </c>
      <c r="H186" s="17" t="s">
        <v>1207</v>
      </c>
      <c r="I186" s="16" t="s">
        <v>74</v>
      </c>
      <c r="J186" s="17" t="s">
        <v>1027</v>
      </c>
      <c r="K186" s="20"/>
    </row>
    <row r="187" ht="15.75" customHeight="1">
      <c r="A187" s="14" t="s">
        <v>97</v>
      </c>
      <c r="B187" s="15">
        <v>69.0</v>
      </c>
      <c r="C187" s="17" t="s">
        <v>1209</v>
      </c>
      <c r="D187" s="17" t="s">
        <v>1210</v>
      </c>
      <c r="E187" s="17" t="s">
        <v>392</v>
      </c>
      <c r="F187" s="16" t="s">
        <v>68</v>
      </c>
      <c r="G187" s="16" t="s">
        <v>371</v>
      </c>
      <c r="H187" s="17" t="s">
        <v>1207</v>
      </c>
      <c r="I187" s="16" t="s">
        <v>74</v>
      </c>
      <c r="J187" s="17" t="s">
        <v>1027</v>
      </c>
      <c r="K187" s="20"/>
    </row>
    <row r="188" ht="15.75" customHeight="1">
      <c r="A188" s="14" t="s">
        <v>97</v>
      </c>
      <c r="B188" s="15">
        <v>70.0</v>
      </c>
      <c r="C188" s="17" t="s">
        <v>1212</v>
      </c>
      <c r="D188" s="17" t="s">
        <v>1214</v>
      </c>
      <c r="E188" s="17" t="s">
        <v>1034</v>
      </c>
      <c r="F188" s="16" t="s">
        <v>181</v>
      </c>
      <c r="G188" s="16" t="s">
        <v>72</v>
      </c>
      <c r="H188" s="17" t="s">
        <v>1207</v>
      </c>
      <c r="I188" s="16" t="s">
        <v>74</v>
      </c>
      <c r="J188" s="17" t="s">
        <v>1027</v>
      </c>
      <c r="K188" s="20"/>
    </row>
    <row r="189" ht="15.75" customHeight="1">
      <c r="A189" s="14" t="s">
        <v>97</v>
      </c>
      <c r="B189" s="15">
        <v>71.0</v>
      </c>
      <c r="C189" s="17" t="s">
        <v>1216</v>
      </c>
      <c r="D189" s="17" t="s">
        <v>1217</v>
      </c>
      <c r="E189" s="17" t="s">
        <v>386</v>
      </c>
      <c r="F189" s="16" t="s">
        <v>68</v>
      </c>
      <c r="G189" s="16" t="s">
        <v>371</v>
      </c>
      <c r="H189" s="17" t="s">
        <v>1219</v>
      </c>
      <c r="I189" s="16" t="s">
        <v>74</v>
      </c>
      <c r="J189" s="17" t="s">
        <v>1027</v>
      </c>
      <c r="K189" s="20"/>
    </row>
    <row r="190" ht="15.75" customHeight="1">
      <c r="A190" s="14" t="s">
        <v>97</v>
      </c>
      <c r="B190" s="15">
        <v>72.0</v>
      </c>
      <c r="C190" s="17" t="s">
        <v>1221</v>
      </c>
      <c r="D190" s="17" t="s">
        <v>1222</v>
      </c>
      <c r="E190" s="17" t="s">
        <v>392</v>
      </c>
      <c r="F190" s="16" t="s">
        <v>68</v>
      </c>
      <c r="G190" s="16" t="s">
        <v>371</v>
      </c>
      <c r="H190" s="17" t="s">
        <v>1219</v>
      </c>
      <c r="I190" s="16" t="s">
        <v>74</v>
      </c>
      <c r="J190" s="17" t="s">
        <v>1027</v>
      </c>
      <c r="K190" s="20"/>
    </row>
    <row r="191" ht="15.75" customHeight="1">
      <c r="A191" s="14" t="s">
        <v>97</v>
      </c>
      <c r="B191" s="15">
        <v>73.0</v>
      </c>
      <c r="C191" s="17" t="s">
        <v>1225</v>
      </c>
      <c r="D191" s="17" t="s">
        <v>1214</v>
      </c>
      <c r="E191" s="17" t="s">
        <v>1034</v>
      </c>
      <c r="F191" s="16" t="s">
        <v>181</v>
      </c>
      <c r="G191" s="16" t="s">
        <v>72</v>
      </c>
      <c r="H191" s="17" t="s">
        <v>1219</v>
      </c>
      <c r="I191" s="16" t="s">
        <v>74</v>
      </c>
      <c r="J191" s="17" t="s">
        <v>1027</v>
      </c>
      <c r="K191" s="20"/>
    </row>
    <row r="192" ht="15.75" customHeight="1">
      <c r="A192" s="14" t="s">
        <v>97</v>
      </c>
      <c r="B192" s="15">
        <v>74.0</v>
      </c>
      <c r="C192" s="17" t="s">
        <v>571</v>
      </c>
      <c r="D192" s="17" t="s">
        <v>1227</v>
      </c>
      <c r="E192" s="17" t="s">
        <v>441</v>
      </c>
      <c r="F192" s="16" t="s">
        <v>68</v>
      </c>
      <c r="G192" s="16" t="s">
        <v>371</v>
      </c>
      <c r="H192" s="17" t="s">
        <v>1229</v>
      </c>
      <c r="I192" s="16" t="s">
        <v>74</v>
      </c>
      <c r="J192" s="17" t="s">
        <v>1230</v>
      </c>
      <c r="K192" s="20"/>
    </row>
    <row r="193" ht="15.75" customHeight="1">
      <c r="A193" s="14" t="s">
        <v>97</v>
      </c>
      <c r="B193" s="15">
        <v>75.0</v>
      </c>
      <c r="C193" s="17" t="s">
        <v>573</v>
      </c>
      <c r="D193" s="17" t="s">
        <v>1232</v>
      </c>
      <c r="E193" s="17" t="s">
        <v>441</v>
      </c>
      <c r="F193" s="16" t="s">
        <v>68</v>
      </c>
      <c r="G193" s="16" t="s">
        <v>371</v>
      </c>
      <c r="H193" s="17" t="s">
        <v>1234</v>
      </c>
      <c r="I193" s="16" t="s">
        <v>74</v>
      </c>
      <c r="J193" s="17" t="s">
        <v>1230</v>
      </c>
      <c r="K193" s="20"/>
    </row>
    <row r="194" ht="15.75" customHeight="1">
      <c r="A194" s="14" t="s">
        <v>97</v>
      </c>
      <c r="B194" s="15">
        <v>76.0</v>
      </c>
      <c r="C194" s="17" t="s">
        <v>574</v>
      </c>
      <c r="D194" s="17" t="s">
        <v>1235</v>
      </c>
      <c r="E194" s="17" t="s">
        <v>441</v>
      </c>
      <c r="F194" s="16" t="s">
        <v>68</v>
      </c>
      <c r="G194" s="16" t="s">
        <v>371</v>
      </c>
      <c r="H194" s="17" t="s">
        <v>1236</v>
      </c>
      <c r="I194" s="16" t="s">
        <v>74</v>
      </c>
      <c r="J194" s="17" t="s">
        <v>1230</v>
      </c>
      <c r="K194" s="20"/>
    </row>
    <row r="195" ht="15.75" customHeight="1">
      <c r="A195" s="14" t="s">
        <v>97</v>
      </c>
      <c r="B195" s="15">
        <v>77.0</v>
      </c>
      <c r="C195" s="17" t="s">
        <v>577</v>
      </c>
      <c r="D195" s="17" t="s">
        <v>1239</v>
      </c>
      <c r="E195" s="17" t="s">
        <v>441</v>
      </c>
      <c r="F195" s="16" t="s">
        <v>68</v>
      </c>
      <c r="G195" s="16" t="s">
        <v>371</v>
      </c>
      <c r="H195" s="17" t="s">
        <v>1240</v>
      </c>
      <c r="I195" s="16" t="s">
        <v>74</v>
      </c>
      <c r="J195" s="17" t="s">
        <v>1230</v>
      </c>
      <c r="K195" s="20"/>
    </row>
    <row r="196" ht="15.75" customHeight="1">
      <c r="A196" s="14" t="s">
        <v>97</v>
      </c>
      <c r="B196" s="15">
        <v>78.0</v>
      </c>
      <c r="C196" s="17" t="s">
        <v>821</v>
      </c>
      <c r="D196" s="17" t="s">
        <v>1242</v>
      </c>
      <c r="E196" s="17" t="s">
        <v>441</v>
      </c>
      <c r="F196" s="16" t="s">
        <v>68</v>
      </c>
      <c r="G196" s="16" t="s">
        <v>371</v>
      </c>
      <c r="H196" s="17" t="s">
        <v>1244</v>
      </c>
      <c r="I196" s="16" t="s">
        <v>74</v>
      </c>
      <c r="J196" s="17" t="s">
        <v>1230</v>
      </c>
      <c r="K196" s="20"/>
    </row>
    <row r="197" ht="15.75" customHeight="1">
      <c r="A197" s="14" t="s">
        <v>97</v>
      </c>
      <c r="B197" s="15">
        <v>79.0</v>
      </c>
      <c r="C197" s="17" t="s">
        <v>579</v>
      </c>
      <c r="D197" s="17" t="s">
        <v>1246</v>
      </c>
      <c r="E197" s="17" t="s">
        <v>441</v>
      </c>
      <c r="F197" s="16" t="s">
        <v>68</v>
      </c>
      <c r="G197" s="16" t="s">
        <v>371</v>
      </c>
      <c r="H197" s="17" t="s">
        <v>1247</v>
      </c>
      <c r="I197" s="16" t="s">
        <v>74</v>
      </c>
      <c r="J197" s="17" t="s">
        <v>1230</v>
      </c>
      <c r="K197" s="20"/>
    </row>
    <row r="198" ht="15.75" customHeight="1">
      <c r="A198" s="14" t="s">
        <v>97</v>
      </c>
      <c r="B198" s="15">
        <v>80.0</v>
      </c>
      <c r="C198" s="17" t="s">
        <v>580</v>
      </c>
      <c r="D198" s="17" t="s">
        <v>1250</v>
      </c>
      <c r="E198" s="17" t="s">
        <v>441</v>
      </c>
      <c r="F198" s="16" t="s">
        <v>68</v>
      </c>
      <c r="G198" s="16" t="s">
        <v>371</v>
      </c>
      <c r="H198" s="17" t="s">
        <v>1252</v>
      </c>
      <c r="I198" s="16" t="s">
        <v>74</v>
      </c>
      <c r="J198" s="17" t="s">
        <v>1230</v>
      </c>
      <c r="K198" s="20"/>
    </row>
    <row r="199" ht="15.75" customHeight="1">
      <c r="A199" s="14" t="s">
        <v>97</v>
      </c>
      <c r="B199" s="15">
        <v>81.0</v>
      </c>
      <c r="C199" s="17" t="s">
        <v>1258</v>
      </c>
      <c r="D199" s="17" t="s">
        <v>1259</v>
      </c>
      <c r="E199" s="17" t="s">
        <v>441</v>
      </c>
      <c r="F199" s="16" t="s">
        <v>68</v>
      </c>
      <c r="G199" s="16" t="s">
        <v>371</v>
      </c>
      <c r="H199" s="17" t="s">
        <v>1263</v>
      </c>
      <c r="I199" s="16" t="s">
        <v>74</v>
      </c>
      <c r="J199" s="17" t="s">
        <v>1230</v>
      </c>
      <c r="K199" s="20"/>
    </row>
    <row r="200" ht="15.75" customHeight="1">
      <c r="A200" s="14" t="s">
        <v>97</v>
      </c>
      <c r="B200" s="15">
        <v>82.0</v>
      </c>
      <c r="C200" s="17" t="s">
        <v>1266</v>
      </c>
      <c r="D200" s="17" t="s">
        <v>1267</v>
      </c>
      <c r="E200" s="17" t="s">
        <v>441</v>
      </c>
      <c r="F200" s="16" t="s">
        <v>68</v>
      </c>
      <c r="G200" s="16" t="s">
        <v>371</v>
      </c>
      <c r="H200" s="17" t="s">
        <v>1268</v>
      </c>
      <c r="I200" s="16" t="s">
        <v>74</v>
      </c>
      <c r="J200" s="17" t="s">
        <v>1230</v>
      </c>
      <c r="K200" s="20"/>
    </row>
    <row r="201" ht="15.75" customHeight="1">
      <c r="A201" s="14" t="s">
        <v>97</v>
      </c>
      <c r="B201" s="15">
        <v>83.0</v>
      </c>
      <c r="C201" s="17" t="s">
        <v>1275</v>
      </c>
      <c r="D201" s="17" t="s">
        <v>1276</v>
      </c>
      <c r="E201" s="17" t="s">
        <v>441</v>
      </c>
      <c r="F201" s="16" t="s">
        <v>68</v>
      </c>
      <c r="G201" s="16" t="s">
        <v>371</v>
      </c>
      <c r="H201" s="17" t="s">
        <v>1278</v>
      </c>
      <c r="I201" s="16" t="s">
        <v>74</v>
      </c>
      <c r="J201" s="17" t="s">
        <v>1230</v>
      </c>
      <c r="K201" s="20"/>
    </row>
    <row r="202" ht="15.75" customHeight="1">
      <c r="A202" s="14" t="s">
        <v>97</v>
      </c>
      <c r="B202" s="15">
        <v>84.0</v>
      </c>
      <c r="C202" s="17" t="s">
        <v>1287</v>
      </c>
      <c r="D202" s="17" t="s">
        <v>1289</v>
      </c>
      <c r="E202" s="17" t="s">
        <v>441</v>
      </c>
      <c r="F202" s="16" t="s">
        <v>68</v>
      </c>
      <c r="G202" s="16" t="s">
        <v>371</v>
      </c>
      <c r="H202" s="17" t="s">
        <v>1293</v>
      </c>
      <c r="I202" s="16" t="s">
        <v>74</v>
      </c>
      <c r="J202" s="17" t="s">
        <v>1230</v>
      </c>
      <c r="K202" s="20"/>
    </row>
    <row r="203" ht="15.75" customHeight="1">
      <c r="A203" s="14" t="s">
        <v>97</v>
      </c>
      <c r="B203" s="15">
        <v>85.0</v>
      </c>
      <c r="C203" s="17" t="s">
        <v>1300</v>
      </c>
      <c r="D203" s="17" t="s">
        <v>1301</v>
      </c>
      <c r="E203" s="17" t="s">
        <v>441</v>
      </c>
      <c r="F203" s="16" t="s">
        <v>68</v>
      </c>
      <c r="G203" s="16" t="s">
        <v>371</v>
      </c>
      <c r="H203" s="17" t="s">
        <v>1304</v>
      </c>
      <c r="I203" s="16" t="s">
        <v>74</v>
      </c>
      <c r="J203" s="17" t="s">
        <v>1230</v>
      </c>
      <c r="K203" s="20"/>
    </row>
    <row r="204" ht="15.75" customHeight="1">
      <c r="A204" s="14" t="s">
        <v>97</v>
      </c>
      <c r="B204" s="15">
        <v>86.0</v>
      </c>
      <c r="C204" s="17" t="s">
        <v>1310</v>
      </c>
      <c r="D204" s="17" t="s">
        <v>1312</v>
      </c>
      <c r="E204" s="17" t="s">
        <v>441</v>
      </c>
      <c r="F204" s="16" t="s">
        <v>68</v>
      </c>
      <c r="G204" s="16" t="s">
        <v>371</v>
      </c>
      <c r="H204" s="17" t="s">
        <v>1316</v>
      </c>
      <c r="I204" s="16" t="s">
        <v>74</v>
      </c>
      <c r="J204" s="17" t="s">
        <v>1230</v>
      </c>
      <c r="K204" s="20"/>
    </row>
    <row r="205" ht="15.75" customHeight="1">
      <c r="A205" s="14" t="s">
        <v>97</v>
      </c>
      <c r="B205" s="15">
        <v>87.0</v>
      </c>
      <c r="C205" s="17" t="s">
        <v>1324</v>
      </c>
      <c r="D205" s="17" t="s">
        <v>1326</v>
      </c>
      <c r="E205" s="17" t="s">
        <v>441</v>
      </c>
      <c r="F205" s="16" t="s">
        <v>68</v>
      </c>
      <c r="G205" s="16" t="s">
        <v>371</v>
      </c>
      <c r="H205" s="17" t="s">
        <v>1330</v>
      </c>
      <c r="I205" s="16" t="s">
        <v>74</v>
      </c>
      <c r="J205" s="17" t="s">
        <v>1230</v>
      </c>
      <c r="K205" s="20"/>
    </row>
    <row r="206" ht="15.75" customHeight="1">
      <c r="A206" s="14" t="s">
        <v>97</v>
      </c>
      <c r="B206" s="15">
        <v>88.0</v>
      </c>
      <c r="C206" s="17" t="s">
        <v>1338</v>
      </c>
      <c r="D206" s="17" t="s">
        <v>1341</v>
      </c>
      <c r="E206" s="17" t="s">
        <v>441</v>
      </c>
      <c r="F206" s="16" t="s">
        <v>68</v>
      </c>
      <c r="G206" s="16" t="s">
        <v>371</v>
      </c>
      <c r="H206" s="17" t="s">
        <v>1345</v>
      </c>
      <c r="I206" s="16" t="s">
        <v>74</v>
      </c>
      <c r="J206" s="17" t="s">
        <v>1230</v>
      </c>
      <c r="K206" s="20"/>
    </row>
    <row r="207" ht="15.75" customHeight="1">
      <c r="A207" s="14" t="s">
        <v>97</v>
      </c>
      <c r="B207" s="15">
        <v>89.0</v>
      </c>
      <c r="C207" s="17" t="s">
        <v>1351</v>
      </c>
      <c r="D207" s="17" t="s">
        <v>1352</v>
      </c>
      <c r="E207" s="17" t="s">
        <v>441</v>
      </c>
      <c r="F207" s="16" t="s">
        <v>68</v>
      </c>
      <c r="G207" s="16" t="s">
        <v>371</v>
      </c>
      <c r="H207" s="17" t="s">
        <v>1356</v>
      </c>
      <c r="I207" s="16" t="s">
        <v>74</v>
      </c>
      <c r="J207" s="17" t="s">
        <v>1230</v>
      </c>
      <c r="K207" s="20"/>
    </row>
    <row r="208" ht="15.75" customHeight="1">
      <c r="A208" s="14" t="s">
        <v>97</v>
      </c>
      <c r="B208" s="15">
        <v>90.0</v>
      </c>
      <c r="C208" s="17" t="s">
        <v>1359</v>
      </c>
      <c r="D208" s="17" t="s">
        <v>1360</v>
      </c>
      <c r="E208" s="17" t="s">
        <v>441</v>
      </c>
      <c r="F208" s="16" t="s">
        <v>68</v>
      </c>
      <c r="G208" s="16" t="s">
        <v>371</v>
      </c>
      <c r="H208" s="17" t="s">
        <v>1362</v>
      </c>
      <c r="I208" s="16" t="s">
        <v>74</v>
      </c>
      <c r="J208" s="17" t="s">
        <v>1230</v>
      </c>
      <c r="K208" s="20"/>
    </row>
    <row r="209" ht="15.75" customHeight="1">
      <c r="A209" s="14" t="s">
        <v>97</v>
      </c>
      <c r="B209" s="15">
        <v>91.0</v>
      </c>
      <c r="C209" s="17" t="s">
        <v>384</v>
      </c>
      <c r="D209" s="17" t="s">
        <v>1364</v>
      </c>
      <c r="E209" s="17" t="s">
        <v>369</v>
      </c>
      <c r="F209" s="16" t="s">
        <v>68</v>
      </c>
      <c r="G209" s="16" t="s">
        <v>371</v>
      </c>
      <c r="H209" s="17" t="s">
        <v>949</v>
      </c>
      <c r="I209" s="16" t="s">
        <v>74</v>
      </c>
      <c r="J209" s="17" t="s">
        <v>1366</v>
      </c>
      <c r="K209" s="20"/>
    </row>
    <row r="210" ht="15.75" customHeight="1">
      <c r="A210" s="14" t="s">
        <v>97</v>
      </c>
      <c r="B210" s="15">
        <v>92.0</v>
      </c>
      <c r="C210" s="17" t="s">
        <v>1136</v>
      </c>
      <c r="D210" s="17" t="s">
        <v>1367</v>
      </c>
      <c r="E210" s="17" t="s">
        <v>956</v>
      </c>
      <c r="F210" s="16" t="s">
        <v>68</v>
      </c>
      <c r="G210" s="16" t="s">
        <v>864</v>
      </c>
      <c r="H210" s="17" t="s">
        <v>959</v>
      </c>
      <c r="I210" s="16" t="s">
        <v>74</v>
      </c>
      <c r="J210" s="17" t="s">
        <v>1366</v>
      </c>
      <c r="K210" s="20"/>
    </row>
    <row r="211" ht="15.75" customHeight="1">
      <c r="A211" s="14" t="s">
        <v>97</v>
      </c>
      <c r="B211" s="15">
        <v>93.0</v>
      </c>
      <c r="C211" s="17" t="s">
        <v>1107</v>
      </c>
      <c r="D211" s="17" t="s">
        <v>1369</v>
      </c>
      <c r="E211" s="17" t="s">
        <v>967</v>
      </c>
      <c r="F211" s="16" t="s">
        <v>68</v>
      </c>
      <c r="G211" s="16" t="s">
        <v>970</v>
      </c>
      <c r="H211" s="17" t="s">
        <v>972</v>
      </c>
      <c r="I211" s="16" t="s">
        <v>74</v>
      </c>
      <c r="J211" s="17" t="s">
        <v>1366</v>
      </c>
      <c r="K211" s="20"/>
    </row>
    <row r="212" ht="15.75" customHeight="1">
      <c r="A212" s="14" t="s">
        <v>97</v>
      </c>
      <c r="B212" s="15">
        <v>94.0</v>
      </c>
      <c r="C212" s="17" t="s">
        <v>1371</v>
      </c>
      <c r="D212" s="17" t="s">
        <v>1372</v>
      </c>
      <c r="E212" s="17" t="s">
        <v>979</v>
      </c>
      <c r="F212" s="16" t="s">
        <v>68</v>
      </c>
      <c r="G212" s="16" t="s">
        <v>864</v>
      </c>
      <c r="H212" s="17" t="s">
        <v>983</v>
      </c>
      <c r="I212" s="16" t="s">
        <v>74</v>
      </c>
      <c r="J212" s="17" t="s">
        <v>1366</v>
      </c>
      <c r="K212" s="20"/>
    </row>
    <row r="213" ht="15.75" customHeight="1">
      <c r="A213" s="14" t="s">
        <v>97</v>
      </c>
      <c r="B213" s="15">
        <v>95.0</v>
      </c>
      <c r="C213" s="17" t="s">
        <v>1374</v>
      </c>
      <c r="D213" s="17" t="s">
        <v>930</v>
      </c>
      <c r="E213" s="17" t="s">
        <v>990</v>
      </c>
      <c r="F213" s="16" t="s">
        <v>357</v>
      </c>
      <c r="G213" s="16" t="s">
        <v>864</v>
      </c>
      <c r="H213" s="17" t="s">
        <v>992</v>
      </c>
      <c r="I213" s="16" t="s">
        <v>74</v>
      </c>
      <c r="J213" s="17" t="s">
        <v>1366</v>
      </c>
      <c r="K213" s="20"/>
    </row>
    <row r="214" ht="15.75" customHeight="1">
      <c r="A214" s="14" t="s">
        <v>97</v>
      </c>
      <c r="B214" s="15">
        <v>96.0</v>
      </c>
      <c r="C214" s="17" t="s">
        <v>1376</v>
      </c>
      <c r="D214" s="17" t="s">
        <v>75</v>
      </c>
      <c r="E214" s="17" t="s">
        <v>1001</v>
      </c>
      <c r="F214" s="16" t="s">
        <v>357</v>
      </c>
      <c r="G214" s="16" t="s">
        <v>864</v>
      </c>
      <c r="H214" s="17" t="s">
        <v>992</v>
      </c>
      <c r="I214" s="16" t="s">
        <v>74</v>
      </c>
      <c r="J214" s="17" t="s">
        <v>1366</v>
      </c>
      <c r="K214" s="20"/>
    </row>
    <row r="215" ht="15.75" customHeight="1">
      <c r="A215" s="14" t="s">
        <v>97</v>
      </c>
      <c r="B215" s="15">
        <v>97.0</v>
      </c>
      <c r="C215" s="17" t="s">
        <v>1137</v>
      </c>
      <c r="D215" s="17" t="s">
        <v>1378</v>
      </c>
      <c r="E215" s="17" t="s">
        <v>1012</v>
      </c>
      <c r="F215" s="16" t="s">
        <v>68</v>
      </c>
      <c r="G215" s="16" t="s">
        <v>72</v>
      </c>
      <c r="H215" s="17" t="s">
        <v>1014</v>
      </c>
      <c r="I215" s="16" t="s">
        <v>74</v>
      </c>
      <c r="J215" s="17" t="s">
        <v>1366</v>
      </c>
      <c r="K215" s="20"/>
    </row>
    <row r="216" ht="15.75" customHeight="1">
      <c r="A216" s="14" t="s">
        <v>97</v>
      </c>
      <c r="B216" s="15">
        <v>98.0</v>
      </c>
      <c r="C216" s="17" t="s">
        <v>881</v>
      </c>
      <c r="D216" s="17" t="s">
        <v>1380</v>
      </c>
      <c r="E216" s="17" t="s">
        <v>386</v>
      </c>
      <c r="F216" s="16" t="s">
        <v>68</v>
      </c>
      <c r="G216" s="16" t="s">
        <v>371</v>
      </c>
      <c r="H216" s="17" t="s">
        <v>1018</v>
      </c>
      <c r="I216" s="16" t="s">
        <v>74</v>
      </c>
      <c r="J216" s="17" t="s">
        <v>1366</v>
      </c>
      <c r="K216" s="20"/>
    </row>
    <row r="217" ht="15.75" customHeight="1">
      <c r="A217" s="14" t="s">
        <v>97</v>
      </c>
      <c r="B217" s="15">
        <v>99.0</v>
      </c>
      <c r="C217" s="17" t="s">
        <v>601</v>
      </c>
      <c r="D217" s="17" t="s">
        <v>1381</v>
      </c>
      <c r="E217" s="17" t="s">
        <v>441</v>
      </c>
      <c r="F217" s="16" t="s">
        <v>68</v>
      </c>
      <c r="G217" s="16" t="s">
        <v>371</v>
      </c>
      <c r="H217" s="17" t="s">
        <v>1022</v>
      </c>
      <c r="I217" s="16" t="s">
        <v>74</v>
      </c>
      <c r="J217" s="17" t="s">
        <v>1366</v>
      </c>
      <c r="K217" s="20"/>
    </row>
    <row r="218" ht="15.75" customHeight="1">
      <c r="A218" s="14" t="s">
        <v>97</v>
      </c>
      <c r="B218" s="15">
        <v>100.0</v>
      </c>
      <c r="C218" s="17" t="s">
        <v>855</v>
      </c>
      <c r="D218" s="17" t="s">
        <v>1382</v>
      </c>
      <c r="E218" s="17" t="s">
        <v>386</v>
      </c>
      <c r="F218" s="16" t="s">
        <v>68</v>
      </c>
      <c r="G218" s="16" t="s">
        <v>371</v>
      </c>
      <c r="H218" s="17" t="s">
        <v>1383</v>
      </c>
      <c r="I218" s="16" t="s">
        <v>74</v>
      </c>
      <c r="J218" s="17" t="s">
        <v>1027</v>
      </c>
      <c r="K218" s="20"/>
    </row>
    <row r="219" ht="15.75" customHeight="1">
      <c r="A219" s="14" t="s">
        <v>97</v>
      </c>
      <c r="B219" s="15">
        <v>101.0</v>
      </c>
      <c r="C219" s="17" t="s">
        <v>1113</v>
      </c>
      <c r="D219" s="17" t="s">
        <v>1090</v>
      </c>
      <c r="E219" s="17" t="s">
        <v>392</v>
      </c>
      <c r="F219" s="16" t="s">
        <v>68</v>
      </c>
      <c r="G219" s="16" t="s">
        <v>371</v>
      </c>
      <c r="H219" s="17" t="s">
        <v>1383</v>
      </c>
      <c r="I219" s="16" t="s">
        <v>74</v>
      </c>
      <c r="J219" s="17" t="s">
        <v>1027</v>
      </c>
      <c r="K219" s="20"/>
    </row>
    <row r="220" ht="15.75" customHeight="1">
      <c r="A220" s="14" t="s">
        <v>97</v>
      </c>
      <c r="B220" s="15">
        <v>102.0</v>
      </c>
      <c r="C220" s="17" t="s">
        <v>1111</v>
      </c>
      <c r="D220" s="17" t="s">
        <v>1390</v>
      </c>
      <c r="E220" s="17" t="s">
        <v>1034</v>
      </c>
      <c r="F220" s="16" t="s">
        <v>181</v>
      </c>
      <c r="G220" s="16" t="s">
        <v>72</v>
      </c>
      <c r="H220" s="17" t="s">
        <v>1383</v>
      </c>
      <c r="I220" s="16" t="s">
        <v>74</v>
      </c>
      <c r="J220" s="17" t="s">
        <v>1027</v>
      </c>
      <c r="K220" s="20"/>
    </row>
    <row r="221" ht="15.75" customHeight="1">
      <c r="A221" s="14" t="s">
        <v>97</v>
      </c>
      <c r="B221" s="15">
        <v>103.0</v>
      </c>
      <c r="C221" s="17" t="s">
        <v>1112</v>
      </c>
      <c r="D221" s="17" t="s">
        <v>1073</v>
      </c>
      <c r="E221" s="17" t="s">
        <v>1037</v>
      </c>
      <c r="F221" s="16" t="s">
        <v>68</v>
      </c>
      <c r="G221" s="16" t="s">
        <v>72</v>
      </c>
      <c r="H221" s="17" t="s">
        <v>1383</v>
      </c>
      <c r="I221" s="16" t="s">
        <v>74</v>
      </c>
      <c r="J221" s="17" t="s">
        <v>1027</v>
      </c>
      <c r="K221" s="20"/>
    </row>
    <row r="222" ht="15.75" customHeight="1">
      <c r="A222" s="14" t="s">
        <v>97</v>
      </c>
      <c r="B222" s="15">
        <v>104.0</v>
      </c>
      <c r="C222" s="17" t="s">
        <v>860</v>
      </c>
      <c r="D222" s="17" t="s">
        <v>1404</v>
      </c>
      <c r="E222" s="17" t="s">
        <v>386</v>
      </c>
      <c r="F222" s="16" t="s">
        <v>68</v>
      </c>
      <c r="G222" s="16" t="s">
        <v>371</v>
      </c>
      <c r="H222" s="17" t="s">
        <v>1407</v>
      </c>
      <c r="I222" s="16" t="s">
        <v>74</v>
      </c>
      <c r="J222" s="17" t="s">
        <v>1027</v>
      </c>
      <c r="K222" s="20"/>
    </row>
    <row r="223" ht="15.75" customHeight="1">
      <c r="A223" s="14" t="s">
        <v>97</v>
      </c>
      <c r="B223" s="15">
        <v>105.0</v>
      </c>
      <c r="C223" s="17" t="s">
        <v>1119</v>
      </c>
      <c r="D223" s="17" t="s">
        <v>1055</v>
      </c>
      <c r="E223" s="17" t="s">
        <v>392</v>
      </c>
      <c r="F223" s="16" t="s">
        <v>68</v>
      </c>
      <c r="G223" s="16" t="s">
        <v>371</v>
      </c>
      <c r="H223" s="17" t="s">
        <v>1407</v>
      </c>
      <c r="I223" s="16" t="s">
        <v>74</v>
      </c>
      <c r="J223" s="17" t="s">
        <v>1027</v>
      </c>
      <c r="K223" s="20"/>
    </row>
    <row r="224" ht="15.75" customHeight="1">
      <c r="A224" s="14" t="s">
        <v>97</v>
      </c>
      <c r="B224" s="15">
        <v>106.0</v>
      </c>
      <c r="C224" s="17" t="s">
        <v>1114</v>
      </c>
      <c r="D224" s="17" t="s">
        <v>1044</v>
      </c>
      <c r="E224" s="17" t="s">
        <v>1034</v>
      </c>
      <c r="F224" s="16" t="s">
        <v>181</v>
      </c>
      <c r="G224" s="16" t="s">
        <v>72</v>
      </c>
      <c r="H224" s="17" t="s">
        <v>1407</v>
      </c>
      <c r="I224" s="16" t="s">
        <v>74</v>
      </c>
      <c r="J224" s="17" t="s">
        <v>1027</v>
      </c>
      <c r="K224" s="20"/>
    </row>
    <row r="225" ht="15.75" customHeight="1">
      <c r="A225" s="14" t="s">
        <v>97</v>
      </c>
      <c r="B225" s="15">
        <v>107.0</v>
      </c>
      <c r="C225" s="17" t="s">
        <v>1115</v>
      </c>
      <c r="D225" s="17" t="s">
        <v>1073</v>
      </c>
      <c r="E225" s="17" t="s">
        <v>1037</v>
      </c>
      <c r="F225" s="16" t="s">
        <v>68</v>
      </c>
      <c r="G225" s="16" t="s">
        <v>72</v>
      </c>
      <c r="H225" s="17" t="s">
        <v>1407</v>
      </c>
      <c r="I225" s="16" t="s">
        <v>74</v>
      </c>
      <c r="J225" s="17" t="s">
        <v>1027</v>
      </c>
      <c r="K225" s="20"/>
    </row>
    <row r="226" ht="15.75" customHeight="1">
      <c r="A226" s="14" t="s">
        <v>97</v>
      </c>
      <c r="B226" s="15">
        <v>108.0</v>
      </c>
      <c r="C226" s="17" t="s">
        <v>870</v>
      </c>
      <c r="D226" s="17" t="s">
        <v>1432</v>
      </c>
      <c r="E226" s="17" t="s">
        <v>386</v>
      </c>
      <c r="F226" s="16" t="s">
        <v>68</v>
      </c>
      <c r="G226" s="16" t="s">
        <v>371</v>
      </c>
      <c r="H226" s="17" t="s">
        <v>1435</v>
      </c>
      <c r="I226" s="16" t="s">
        <v>74</v>
      </c>
      <c r="J226" s="17" t="s">
        <v>1027</v>
      </c>
      <c r="K226" s="20"/>
    </row>
    <row r="227" ht="15.75" customHeight="1">
      <c r="A227" s="14" t="s">
        <v>97</v>
      </c>
      <c r="B227" s="15">
        <v>109.0</v>
      </c>
      <c r="C227" s="17" t="s">
        <v>1125</v>
      </c>
      <c r="D227" s="17" t="s">
        <v>1055</v>
      </c>
      <c r="E227" s="17" t="s">
        <v>392</v>
      </c>
      <c r="F227" s="16" t="s">
        <v>68</v>
      </c>
      <c r="G227" s="16" t="s">
        <v>371</v>
      </c>
      <c r="H227" s="17" t="s">
        <v>1435</v>
      </c>
      <c r="I227" s="16" t="s">
        <v>74</v>
      </c>
      <c r="J227" s="17" t="s">
        <v>1027</v>
      </c>
      <c r="K227" s="20"/>
    </row>
    <row r="228" ht="15.75" customHeight="1">
      <c r="A228" s="14" t="s">
        <v>97</v>
      </c>
      <c r="B228" s="15">
        <v>110.0</v>
      </c>
      <c r="C228" s="17" t="s">
        <v>1121</v>
      </c>
      <c r="D228" s="17" t="s">
        <v>1436</v>
      </c>
      <c r="E228" s="17" t="s">
        <v>1034</v>
      </c>
      <c r="F228" s="16" t="s">
        <v>181</v>
      </c>
      <c r="G228" s="16" t="s">
        <v>72</v>
      </c>
      <c r="H228" s="17" t="s">
        <v>1435</v>
      </c>
      <c r="I228" s="16" t="s">
        <v>74</v>
      </c>
      <c r="J228" s="17" t="s">
        <v>1027</v>
      </c>
      <c r="K228" s="20"/>
    </row>
    <row r="229" ht="15.75" customHeight="1">
      <c r="A229" s="14" t="s">
        <v>97</v>
      </c>
      <c r="B229" s="15">
        <v>111.0</v>
      </c>
      <c r="C229" s="17" t="s">
        <v>1122</v>
      </c>
      <c r="D229" s="17" t="s">
        <v>1073</v>
      </c>
      <c r="E229" s="17" t="s">
        <v>1037</v>
      </c>
      <c r="F229" s="16" t="s">
        <v>68</v>
      </c>
      <c r="G229" s="16" t="s">
        <v>72</v>
      </c>
      <c r="H229" s="17" t="s">
        <v>1435</v>
      </c>
      <c r="I229" s="16" t="s">
        <v>74</v>
      </c>
      <c r="J229" s="17" t="s">
        <v>1027</v>
      </c>
      <c r="K229" s="20"/>
    </row>
    <row r="230" ht="15.75" customHeight="1">
      <c r="A230" s="14" t="s">
        <v>97</v>
      </c>
      <c r="B230" s="15">
        <v>112.0</v>
      </c>
      <c r="C230" s="17" t="s">
        <v>874</v>
      </c>
      <c r="D230" s="17" t="s">
        <v>1437</v>
      </c>
      <c r="E230" s="17" t="s">
        <v>386</v>
      </c>
      <c r="F230" s="16" t="s">
        <v>68</v>
      </c>
      <c r="G230" s="16" t="s">
        <v>371</v>
      </c>
      <c r="H230" s="17" t="s">
        <v>1438</v>
      </c>
      <c r="I230" s="16" t="s">
        <v>74</v>
      </c>
      <c r="J230" s="17" t="s">
        <v>1027</v>
      </c>
      <c r="K230" s="20"/>
    </row>
    <row r="231" ht="15.75" customHeight="1">
      <c r="A231" s="14" t="s">
        <v>97</v>
      </c>
      <c r="B231" s="15">
        <v>113.0</v>
      </c>
      <c r="C231" s="17" t="s">
        <v>1131</v>
      </c>
      <c r="D231" s="17" t="s">
        <v>1090</v>
      </c>
      <c r="E231" s="17" t="s">
        <v>392</v>
      </c>
      <c r="F231" s="16" t="s">
        <v>68</v>
      </c>
      <c r="G231" s="16" t="s">
        <v>371</v>
      </c>
      <c r="H231" s="17" t="s">
        <v>1438</v>
      </c>
      <c r="I231" s="16" t="s">
        <v>74</v>
      </c>
      <c r="J231" s="17" t="s">
        <v>1027</v>
      </c>
      <c r="K231" s="20"/>
    </row>
    <row r="232" ht="15.75" customHeight="1">
      <c r="A232" s="14" t="s">
        <v>97</v>
      </c>
      <c r="B232" s="15">
        <v>114.0</v>
      </c>
      <c r="C232" s="17" t="s">
        <v>1126</v>
      </c>
      <c r="D232" s="17" t="s">
        <v>1044</v>
      </c>
      <c r="E232" s="17" t="s">
        <v>1034</v>
      </c>
      <c r="F232" s="16" t="s">
        <v>181</v>
      </c>
      <c r="G232" s="16" t="s">
        <v>72</v>
      </c>
      <c r="H232" s="17" t="s">
        <v>1438</v>
      </c>
      <c r="I232" s="16" t="s">
        <v>74</v>
      </c>
      <c r="J232" s="17" t="s">
        <v>1027</v>
      </c>
      <c r="K232" s="20"/>
    </row>
    <row r="233" ht="15.75" customHeight="1">
      <c r="A233" s="14" t="s">
        <v>97</v>
      </c>
      <c r="B233" s="15">
        <v>115.0</v>
      </c>
      <c r="C233" s="17" t="s">
        <v>1129</v>
      </c>
      <c r="D233" s="17" t="s">
        <v>1439</v>
      </c>
      <c r="E233" s="17" t="s">
        <v>1037</v>
      </c>
      <c r="F233" s="16" t="s">
        <v>68</v>
      </c>
      <c r="G233" s="16" t="s">
        <v>72</v>
      </c>
      <c r="H233" s="17" t="s">
        <v>1438</v>
      </c>
      <c r="I233" s="16" t="s">
        <v>74</v>
      </c>
      <c r="J233" s="17" t="s">
        <v>1027</v>
      </c>
      <c r="K233" s="20"/>
    </row>
    <row r="234" ht="15.75" customHeight="1">
      <c r="A234" s="14" t="s">
        <v>97</v>
      </c>
      <c r="B234" s="15">
        <v>116.0</v>
      </c>
      <c r="C234" s="17" t="s">
        <v>876</v>
      </c>
      <c r="D234" s="17" t="s">
        <v>1440</v>
      </c>
      <c r="E234" s="17" t="s">
        <v>386</v>
      </c>
      <c r="F234" s="16" t="s">
        <v>68</v>
      </c>
      <c r="G234" s="16" t="s">
        <v>371</v>
      </c>
      <c r="H234" s="17" t="s">
        <v>1441</v>
      </c>
      <c r="I234" s="16" t="s">
        <v>74</v>
      </c>
      <c r="J234" s="17" t="s">
        <v>1027</v>
      </c>
      <c r="K234" s="20"/>
    </row>
    <row r="235" ht="15.75" customHeight="1">
      <c r="A235" s="14" t="s">
        <v>97</v>
      </c>
      <c r="B235" s="15">
        <v>117.0</v>
      </c>
      <c r="C235" s="17" t="s">
        <v>1134</v>
      </c>
      <c r="D235" s="17" t="s">
        <v>1055</v>
      </c>
      <c r="E235" s="17" t="s">
        <v>392</v>
      </c>
      <c r="F235" s="16" t="s">
        <v>68</v>
      </c>
      <c r="G235" s="16" t="s">
        <v>371</v>
      </c>
      <c r="H235" s="17" t="s">
        <v>1441</v>
      </c>
      <c r="I235" s="16" t="s">
        <v>74</v>
      </c>
      <c r="J235" s="17" t="s">
        <v>1027</v>
      </c>
      <c r="K235" s="20"/>
    </row>
    <row r="236" ht="15.75" customHeight="1">
      <c r="A236" s="14" t="s">
        <v>97</v>
      </c>
      <c r="B236" s="15">
        <v>118.0</v>
      </c>
      <c r="C236" s="17" t="s">
        <v>1442</v>
      </c>
      <c r="D236" s="17" t="s">
        <v>1044</v>
      </c>
      <c r="E236" s="17" t="s">
        <v>1034</v>
      </c>
      <c r="F236" s="16" t="s">
        <v>181</v>
      </c>
      <c r="G236" s="16" t="s">
        <v>72</v>
      </c>
      <c r="H236" s="17" t="s">
        <v>1441</v>
      </c>
      <c r="I236" s="16" t="s">
        <v>74</v>
      </c>
      <c r="J236" s="17" t="s">
        <v>1027</v>
      </c>
      <c r="K236" s="20"/>
    </row>
    <row r="237" ht="15.75" customHeight="1">
      <c r="A237" s="14" t="s">
        <v>97</v>
      </c>
      <c r="B237" s="15">
        <v>119.0</v>
      </c>
      <c r="C237" s="17" t="s">
        <v>1133</v>
      </c>
      <c r="D237" s="17" t="s">
        <v>1439</v>
      </c>
      <c r="E237" s="17" t="s">
        <v>1037</v>
      </c>
      <c r="F237" s="16" t="s">
        <v>68</v>
      </c>
      <c r="G237" s="16" t="s">
        <v>72</v>
      </c>
      <c r="H237" s="17" t="s">
        <v>1441</v>
      </c>
      <c r="I237" s="16" t="s">
        <v>74</v>
      </c>
      <c r="J237" s="17" t="s">
        <v>1027</v>
      </c>
      <c r="K237" s="20"/>
    </row>
    <row r="238" ht="15.75" customHeight="1">
      <c r="A238" s="14" t="s">
        <v>97</v>
      </c>
      <c r="B238" s="15">
        <v>120.0</v>
      </c>
      <c r="C238" s="17" t="s">
        <v>1448</v>
      </c>
      <c r="D238" s="17" t="s">
        <v>1449</v>
      </c>
      <c r="E238" s="17" t="s">
        <v>386</v>
      </c>
      <c r="F238" s="16" t="s">
        <v>68</v>
      </c>
      <c r="G238" s="16" t="s">
        <v>371</v>
      </c>
      <c r="H238" s="17" t="s">
        <v>1451</v>
      </c>
      <c r="I238" s="16" t="s">
        <v>74</v>
      </c>
      <c r="J238" s="17" t="s">
        <v>1027</v>
      </c>
      <c r="K238" s="20"/>
    </row>
    <row r="239" ht="15.75" customHeight="1">
      <c r="A239" s="14" t="s">
        <v>97</v>
      </c>
      <c r="B239" s="15">
        <v>121.0</v>
      </c>
      <c r="C239" s="17" t="s">
        <v>1455</v>
      </c>
      <c r="D239" s="17" t="s">
        <v>1090</v>
      </c>
      <c r="E239" s="17" t="s">
        <v>392</v>
      </c>
      <c r="F239" s="16" t="s">
        <v>68</v>
      </c>
      <c r="G239" s="16" t="s">
        <v>371</v>
      </c>
      <c r="H239" s="17" t="s">
        <v>1451</v>
      </c>
      <c r="I239" s="16" t="s">
        <v>74</v>
      </c>
      <c r="J239" s="17" t="s">
        <v>1027</v>
      </c>
      <c r="K239" s="20"/>
    </row>
    <row r="240" ht="15.75" customHeight="1">
      <c r="A240" s="14" t="s">
        <v>97</v>
      </c>
      <c r="B240" s="15">
        <v>122.0</v>
      </c>
      <c r="C240" s="17" t="s">
        <v>1459</v>
      </c>
      <c r="D240" s="17" t="s">
        <v>1462</v>
      </c>
      <c r="E240" s="17" t="s">
        <v>1034</v>
      </c>
      <c r="F240" s="16" t="s">
        <v>181</v>
      </c>
      <c r="G240" s="16" t="s">
        <v>72</v>
      </c>
      <c r="H240" s="17" t="s">
        <v>1451</v>
      </c>
      <c r="I240" s="16" t="s">
        <v>74</v>
      </c>
      <c r="J240" s="17" t="s">
        <v>1027</v>
      </c>
      <c r="K240" s="20"/>
    </row>
    <row r="241" ht="15.75" customHeight="1">
      <c r="A241" s="14" t="s">
        <v>97</v>
      </c>
      <c r="B241" s="15">
        <v>123.0</v>
      </c>
      <c r="C241" s="17" t="s">
        <v>1471</v>
      </c>
      <c r="D241" s="17" t="s">
        <v>1472</v>
      </c>
      <c r="E241" s="17" t="s">
        <v>1037</v>
      </c>
      <c r="F241" s="16" t="s">
        <v>68</v>
      </c>
      <c r="G241" s="16" t="s">
        <v>72</v>
      </c>
      <c r="H241" s="17" t="s">
        <v>1451</v>
      </c>
      <c r="I241" s="16" t="s">
        <v>74</v>
      </c>
      <c r="J241" s="17" t="s">
        <v>1027</v>
      </c>
      <c r="K241" s="20"/>
    </row>
    <row r="242" ht="15.75" customHeight="1">
      <c r="A242" s="14" t="s">
        <v>97</v>
      </c>
      <c r="B242" s="15">
        <v>124.0</v>
      </c>
      <c r="C242" s="17" t="s">
        <v>1481</v>
      </c>
      <c r="D242" s="17" t="s">
        <v>1483</v>
      </c>
      <c r="E242" s="17" t="s">
        <v>386</v>
      </c>
      <c r="F242" s="16" t="s">
        <v>68</v>
      </c>
      <c r="G242" s="16" t="s">
        <v>371</v>
      </c>
      <c r="H242" s="17" t="s">
        <v>1486</v>
      </c>
      <c r="I242" s="16" t="s">
        <v>74</v>
      </c>
      <c r="J242" s="17" t="s">
        <v>1027</v>
      </c>
      <c r="K242" s="20"/>
    </row>
    <row r="243" ht="15.75" customHeight="1">
      <c r="A243" s="14" t="s">
        <v>97</v>
      </c>
      <c r="B243" s="15">
        <v>125.0</v>
      </c>
      <c r="C243" s="17" t="s">
        <v>1488</v>
      </c>
      <c r="D243" s="17" t="s">
        <v>1090</v>
      </c>
      <c r="E243" s="17" t="s">
        <v>392</v>
      </c>
      <c r="F243" s="16" t="s">
        <v>68</v>
      </c>
      <c r="G243" s="16" t="s">
        <v>371</v>
      </c>
      <c r="H243" s="17" t="s">
        <v>1486</v>
      </c>
      <c r="I243" s="16" t="s">
        <v>74</v>
      </c>
      <c r="J243" s="17" t="s">
        <v>1027</v>
      </c>
      <c r="K243" s="20"/>
    </row>
    <row r="244" ht="15.75" customHeight="1">
      <c r="A244" s="14" t="s">
        <v>97</v>
      </c>
      <c r="B244" s="15">
        <v>126.0</v>
      </c>
      <c r="C244" s="17" t="s">
        <v>1493</v>
      </c>
      <c r="D244" s="17" t="s">
        <v>1124</v>
      </c>
      <c r="E244" s="17" t="s">
        <v>1034</v>
      </c>
      <c r="F244" s="16" t="s">
        <v>181</v>
      </c>
      <c r="G244" s="16" t="s">
        <v>72</v>
      </c>
      <c r="H244" s="17" t="s">
        <v>1486</v>
      </c>
      <c r="I244" s="16" t="s">
        <v>74</v>
      </c>
      <c r="J244" s="17" t="s">
        <v>1027</v>
      </c>
      <c r="K244" s="20"/>
    </row>
    <row r="245" ht="15.75" customHeight="1">
      <c r="A245" s="14" t="s">
        <v>97</v>
      </c>
      <c r="B245" s="15">
        <v>127.0</v>
      </c>
      <c r="C245" s="17" t="s">
        <v>1495</v>
      </c>
      <c r="D245" s="17" t="s">
        <v>1203</v>
      </c>
      <c r="E245" s="17" t="s">
        <v>1037</v>
      </c>
      <c r="F245" s="16" t="s">
        <v>68</v>
      </c>
      <c r="G245" s="16" t="s">
        <v>72</v>
      </c>
      <c r="H245" s="17" t="s">
        <v>1486</v>
      </c>
      <c r="I245" s="16" t="s">
        <v>74</v>
      </c>
      <c r="J245" s="17" t="s">
        <v>1027</v>
      </c>
      <c r="K245" s="20"/>
    </row>
    <row r="246" ht="15.75" customHeight="1">
      <c r="A246" s="14" t="s">
        <v>97</v>
      </c>
      <c r="B246" s="15">
        <v>128.0</v>
      </c>
      <c r="C246" s="17" t="s">
        <v>1496</v>
      </c>
      <c r="D246" s="17" t="s">
        <v>1497</v>
      </c>
      <c r="E246" s="17" t="s">
        <v>386</v>
      </c>
      <c r="F246" s="16" t="s">
        <v>68</v>
      </c>
      <c r="G246" s="16" t="s">
        <v>371</v>
      </c>
      <c r="H246" s="17" t="s">
        <v>1498</v>
      </c>
      <c r="I246" s="16" t="s">
        <v>74</v>
      </c>
      <c r="J246" s="17" t="s">
        <v>1027</v>
      </c>
      <c r="K246" s="20"/>
    </row>
    <row r="247" ht="15.75" customHeight="1">
      <c r="A247" s="14" t="s">
        <v>97</v>
      </c>
      <c r="B247" s="15">
        <v>129.0</v>
      </c>
      <c r="C247" s="17" t="s">
        <v>1499</v>
      </c>
      <c r="D247" s="17" t="s">
        <v>1055</v>
      </c>
      <c r="E247" s="17" t="s">
        <v>392</v>
      </c>
      <c r="F247" s="16" t="s">
        <v>68</v>
      </c>
      <c r="G247" s="16" t="s">
        <v>371</v>
      </c>
      <c r="H247" s="17" t="s">
        <v>1498</v>
      </c>
      <c r="I247" s="16" t="s">
        <v>74</v>
      </c>
      <c r="J247" s="17" t="s">
        <v>1027</v>
      </c>
      <c r="K247" s="20"/>
    </row>
    <row r="248" ht="15.75" customHeight="1">
      <c r="A248" s="14" t="s">
        <v>97</v>
      </c>
      <c r="B248" s="15">
        <v>130.0</v>
      </c>
      <c r="C248" s="17" t="s">
        <v>1500</v>
      </c>
      <c r="D248" s="17" t="s">
        <v>1501</v>
      </c>
      <c r="E248" s="17" t="s">
        <v>1034</v>
      </c>
      <c r="F248" s="16" t="s">
        <v>181</v>
      </c>
      <c r="G248" s="16" t="s">
        <v>72</v>
      </c>
      <c r="H248" s="17" t="s">
        <v>1498</v>
      </c>
      <c r="I248" s="16" t="s">
        <v>74</v>
      </c>
      <c r="J248" s="17" t="s">
        <v>1027</v>
      </c>
      <c r="K248" s="20"/>
    </row>
    <row r="249" ht="15.75" customHeight="1">
      <c r="A249" s="14" t="s">
        <v>97</v>
      </c>
      <c r="B249" s="15">
        <v>131.0</v>
      </c>
      <c r="C249" s="17" t="s">
        <v>1502</v>
      </c>
      <c r="D249" s="17" t="s">
        <v>1203</v>
      </c>
      <c r="E249" s="17" t="s">
        <v>1037</v>
      </c>
      <c r="F249" s="16" t="s">
        <v>68</v>
      </c>
      <c r="G249" s="16" t="s">
        <v>72</v>
      </c>
      <c r="H249" s="17" t="s">
        <v>1498</v>
      </c>
      <c r="I249" s="16" t="s">
        <v>74</v>
      </c>
      <c r="J249" s="17" t="s">
        <v>1027</v>
      </c>
      <c r="K249" s="20"/>
    </row>
    <row r="250" ht="15.75" customHeight="1">
      <c r="A250" s="14" t="s">
        <v>97</v>
      </c>
      <c r="B250" s="15">
        <v>132.0</v>
      </c>
      <c r="C250" s="17" t="s">
        <v>1503</v>
      </c>
      <c r="D250" s="17" t="s">
        <v>1504</v>
      </c>
      <c r="E250" s="17" t="s">
        <v>386</v>
      </c>
      <c r="F250" s="16" t="s">
        <v>68</v>
      </c>
      <c r="G250" s="16" t="s">
        <v>371</v>
      </c>
      <c r="H250" s="17" t="s">
        <v>1505</v>
      </c>
      <c r="I250" s="16" t="s">
        <v>74</v>
      </c>
      <c r="J250" s="17" t="s">
        <v>1027</v>
      </c>
      <c r="K250" s="20"/>
    </row>
    <row r="251" ht="15.75" customHeight="1">
      <c r="A251" s="14" t="s">
        <v>97</v>
      </c>
      <c r="B251" s="15">
        <v>133.0</v>
      </c>
      <c r="C251" s="17" t="s">
        <v>1506</v>
      </c>
      <c r="D251" s="17" t="s">
        <v>1055</v>
      </c>
      <c r="E251" s="17" t="s">
        <v>392</v>
      </c>
      <c r="F251" s="16" t="s">
        <v>68</v>
      </c>
      <c r="G251" s="16" t="s">
        <v>371</v>
      </c>
      <c r="H251" s="17" t="s">
        <v>1505</v>
      </c>
      <c r="I251" s="16" t="s">
        <v>74</v>
      </c>
      <c r="J251" s="17" t="s">
        <v>1027</v>
      </c>
      <c r="K251" s="20"/>
    </row>
    <row r="252" ht="15.75" customHeight="1">
      <c r="A252" s="14" t="s">
        <v>97</v>
      </c>
      <c r="B252" s="15">
        <v>134.0</v>
      </c>
      <c r="C252" s="17" t="s">
        <v>1507</v>
      </c>
      <c r="D252" s="17" t="s">
        <v>1214</v>
      </c>
      <c r="E252" s="17" t="s">
        <v>1034</v>
      </c>
      <c r="F252" s="16" t="s">
        <v>181</v>
      </c>
      <c r="G252" s="16" t="s">
        <v>72</v>
      </c>
      <c r="H252" s="17" t="s">
        <v>1505</v>
      </c>
      <c r="I252" s="16" t="s">
        <v>74</v>
      </c>
      <c r="J252" s="17" t="s">
        <v>1027</v>
      </c>
      <c r="K252" s="20"/>
    </row>
    <row r="253" ht="15.75" customHeight="1">
      <c r="A253" s="14" t="s">
        <v>97</v>
      </c>
      <c r="B253" s="15">
        <v>135.0</v>
      </c>
      <c r="C253" s="17" t="s">
        <v>1508</v>
      </c>
      <c r="D253" s="17" t="s">
        <v>1509</v>
      </c>
      <c r="E253" s="17" t="s">
        <v>386</v>
      </c>
      <c r="F253" s="16" t="s">
        <v>68</v>
      </c>
      <c r="G253" s="16" t="s">
        <v>371</v>
      </c>
      <c r="H253" s="17" t="s">
        <v>1510</v>
      </c>
      <c r="I253" s="16" t="s">
        <v>74</v>
      </c>
      <c r="J253" s="17" t="s">
        <v>1027</v>
      </c>
      <c r="K253" s="20"/>
    </row>
    <row r="254" ht="15.75" customHeight="1">
      <c r="A254" s="14" t="s">
        <v>97</v>
      </c>
      <c r="B254" s="15">
        <v>136.0</v>
      </c>
      <c r="C254" s="17" t="s">
        <v>1513</v>
      </c>
      <c r="D254" s="17" t="s">
        <v>1514</v>
      </c>
      <c r="E254" s="17" t="s">
        <v>392</v>
      </c>
      <c r="F254" s="16" t="s">
        <v>68</v>
      </c>
      <c r="G254" s="16" t="s">
        <v>371</v>
      </c>
      <c r="H254" s="17" t="s">
        <v>1510</v>
      </c>
      <c r="I254" s="16" t="s">
        <v>74</v>
      </c>
      <c r="J254" s="17" t="s">
        <v>1027</v>
      </c>
      <c r="K254" s="20"/>
    </row>
    <row r="255" ht="15.75" customHeight="1">
      <c r="A255" s="14" t="s">
        <v>97</v>
      </c>
      <c r="B255" s="15">
        <v>137.0</v>
      </c>
      <c r="C255" s="17" t="s">
        <v>1526</v>
      </c>
      <c r="D255" s="17" t="s">
        <v>1214</v>
      </c>
      <c r="E255" s="17" t="s">
        <v>1034</v>
      </c>
      <c r="F255" s="16" t="s">
        <v>181</v>
      </c>
      <c r="G255" s="16" t="s">
        <v>72</v>
      </c>
      <c r="H255" s="17" t="s">
        <v>1510</v>
      </c>
      <c r="I255" s="16" t="s">
        <v>74</v>
      </c>
      <c r="J255" s="17" t="s">
        <v>1027</v>
      </c>
      <c r="K255" s="20"/>
    </row>
    <row r="256" ht="15.75" customHeight="1">
      <c r="A256" s="14" t="s">
        <v>97</v>
      </c>
      <c r="B256" s="15">
        <v>138.0</v>
      </c>
      <c r="C256" s="17" t="s">
        <v>1538</v>
      </c>
      <c r="D256" s="17" t="s">
        <v>1540</v>
      </c>
      <c r="E256" s="17" t="s">
        <v>386</v>
      </c>
      <c r="F256" s="16" t="s">
        <v>68</v>
      </c>
      <c r="G256" s="16" t="s">
        <v>371</v>
      </c>
      <c r="H256" s="17" t="s">
        <v>1546</v>
      </c>
      <c r="I256" s="16" t="s">
        <v>74</v>
      </c>
      <c r="J256" s="17" t="s">
        <v>1027</v>
      </c>
      <c r="K256" s="20"/>
    </row>
    <row r="257" ht="15.75" customHeight="1">
      <c r="A257" s="14" t="s">
        <v>97</v>
      </c>
      <c r="B257" s="15">
        <v>139.0</v>
      </c>
      <c r="C257" s="17" t="s">
        <v>1552</v>
      </c>
      <c r="D257" s="17" t="s">
        <v>1514</v>
      </c>
      <c r="E257" s="17" t="s">
        <v>392</v>
      </c>
      <c r="F257" s="16" t="s">
        <v>68</v>
      </c>
      <c r="G257" s="16" t="s">
        <v>371</v>
      </c>
      <c r="H257" s="17" t="s">
        <v>1546</v>
      </c>
      <c r="I257" s="16" t="s">
        <v>74</v>
      </c>
      <c r="J257" s="17" t="s">
        <v>1027</v>
      </c>
      <c r="K257" s="20"/>
    </row>
    <row r="258" ht="15.75" customHeight="1">
      <c r="A258" s="14" t="s">
        <v>97</v>
      </c>
      <c r="B258" s="15">
        <v>140.0</v>
      </c>
      <c r="C258" s="17" t="s">
        <v>1561</v>
      </c>
      <c r="D258" s="17" t="s">
        <v>1214</v>
      </c>
      <c r="E258" s="17" t="s">
        <v>1034</v>
      </c>
      <c r="F258" s="16" t="s">
        <v>181</v>
      </c>
      <c r="G258" s="16" t="s">
        <v>72</v>
      </c>
      <c r="H258" s="17" t="s">
        <v>1546</v>
      </c>
      <c r="I258" s="16" t="s">
        <v>74</v>
      </c>
      <c r="J258" s="17" t="s">
        <v>1027</v>
      </c>
      <c r="K258" s="20"/>
    </row>
    <row r="259" ht="15.75" customHeight="1">
      <c r="A259" s="14" t="s">
        <v>97</v>
      </c>
      <c r="B259" s="15">
        <v>141.0</v>
      </c>
      <c r="C259" s="17" t="s">
        <v>1572</v>
      </c>
      <c r="D259" s="17" t="s">
        <v>1573</v>
      </c>
      <c r="E259" s="17" t="s">
        <v>386</v>
      </c>
      <c r="F259" s="16" t="s">
        <v>68</v>
      </c>
      <c r="G259" s="16" t="s">
        <v>371</v>
      </c>
      <c r="H259" s="17" t="s">
        <v>1576</v>
      </c>
      <c r="I259" s="16" t="s">
        <v>74</v>
      </c>
      <c r="J259" s="17" t="s">
        <v>1027</v>
      </c>
      <c r="K259" s="20"/>
    </row>
    <row r="260" ht="15.75" customHeight="1">
      <c r="A260" s="14" t="s">
        <v>97</v>
      </c>
      <c r="B260" s="15">
        <v>142.0</v>
      </c>
      <c r="C260" s="17" t="s">
        <v>1582</v>
      </c>
      <c r="D260" s="17" t="s">
        <v>1514</v>
      </c>
      <c r="E260" s="17" t="s">
        <v>392</v>
      </c>
      <c r="F260" s="16" t="s">
        <v>68</v>
      </c>
      <c r="G260" s="16" t="s">
        <v>371</v>
      </c>
      <c r="H260" s="17" t="s">
        <v>1576</v>
      </c>
      <c r="I260" s="16" t="s">
        <v>74</v>
      </c>
      <c r="J260" s="17" t="s">
        <v>1027</v>
      </c>
      <c r="K260" s="20"/>
    </row>
    <row r="261" ht="15.75" customHeight="1">
      <c r="A261" s="14" t="s">
        <v>97</v>
      </c>
      <c r="B261" s="15">
        <v>143.0</v>
      </c>
      <c r="C261" s="17" t="s">
        <v>1584</v>
      </c>
      <c r="D261" s="17" t="s">
        <v>1214</v>
      </c>
      <c r="E261" s="17" t="s">
        <v>1034</v>
      </c>
      <c r="F261" s="16" t="s">
        <v>181</v>
      </c>
      <c r="G261" s="16" t="s">
        <v>72</v>
      </c>
      <c r="H261" s="17" t="s">
        <v>1576</v>
      </c>
      <c r="I261" s="16" t="s">
        <v>74</v>
      </c>
      <c r="J261" s="17" t="s">
        <v>1027</v>
      </c>
      <c r="K261" s="20"/>
    </row>
    <row r="262" ht="15.75" customHeight="1">
      <c r="A262" s="14" t="s">
        <v>97</v>
      </c>
      <c r="B262" s="15">
        <v>144.0</v>
      </c>
      <c r="C262" s="17" t="s">
        <v>585</v>
      </c>
      <c r="D262" s="17" t="s">
        <v>1587</v>
      </c>
      <c r="E262" s="17" t="s">
        <v>441</v>
      </c>
      <c r="F262" s="16" t="s">
        <v>68</v>
      </c>
      <c r="G262" s="16" t="s">
        <v>371</v>
      </c>
      <c r="H262" s="17" t="s">
        <v>1588</v>
      </c>
      <c r="I262" s="16" t="s">
        <v>74</v>
      </c>
      <c r="J262" s="17" t="s">
        <v>1230</v>
      </c>
      <c r="K262" s="20"/>
    </row>
    <row r="263" ht="15.75" customHeight="1">
      <c r="A263" s="14" t="s">
        <v>97</v>
      </c>
      <c r="B263" s="15">
        <v>145.0</v>
      </c>
      <c r="C263" s="17" t="s">
        <v>587</v>
      </c>
      <c r="D263" s="17" t="s">
        <v>1590</v>
      </c>
      <c r="E263" s="17" t="s">
        <v>441</v>
      </c>
      <c r="F263" s="16" t="s">
        <v>68</v>
      </c>
      <c r="G263" s="16" t="s">
        <v>371</v>
      </c>
      <c r="H263" s="17" t="s">
        <v>1591</v>
      </c>
      <c r="I263" s="16" t="s">
        <v>74</v>
      </c>
      <c r="J263" s="17" t="s">
        <v>1230</v>
      </c>
      <c r="K263" s="20"/>
    </row>
    <row r="264" ht="15.75" customHeight="1">
      <c r="A264" s="14" t="s">
        <v>97</v>
      </c>
      <c r="B264" s="15">
        <v>146.0</v>
      </c>
      <c r="C264" s="17" t="s">
        <v>589</v>
      </c>
      <c r="D264" s="17" t="s">
        <v>1594</v>
      </c>
      <c r="E264" s="17" t="s">
        <v>441</v>
      </c>
      <c r="F264" s="16" t="s">
        <v>68</v>
      </c>
      <c r="G264" s="16" t="s">
        <v>371</v>
      </c>
      <c r="H264" s="17" t="s">
        <v>1595</v>
      </c>
      <c r="I264" s="16" t="s">
        <v>74</v>
      </c>
      <c r="J264" s="17" t="s">
        <v>1230</v>
      </c>
      <c r="K264" s="20"/>
    </row>
    <row r="265" ht="15.75" customHeight="1">
      <c r="A265" s="14" t="s">
        <v>97</v>
      </c>
      <c r="B265" s="15">
        <v>147.0</v>
      </c>
      <c r="C265" s="17" t="s">
        <v>596</v>
      </c>
      <c r="D265" s="17" t="s">
        <v>1597</v>
      </c>
      <c r="E265" s="17" t="s">
        <v>441</v>
      </c>
      <c r="F265" s="16" t="s">
        <v>68</v>
      </c>
      <c r="G265" s="16" t="s">
        <v>371</v>
      </c>
      <c r="H265" s="17" t="s">
        <v>1598</v>
      </c>
      <c r="I265" s="16" t="s">
        <v>74</v>
      </c>
      <c r="J265" s="17" t="s">
        <v>1230</v>
      </c>
      <c r="K265" s="20"/>
    </row>
    <row r="266" ht="15.75" customHeight="1">
      <c r="A266" s="14" t="s">
        <v>97</v>
      </c>
      <c r="B266" s="15">
        <v>148.0</v>
      </c>
      <c r="C266" s="17" t="s">
        <v>1600</v>
      </c>
      <c r="D266" s="17" t="s">
        <v>1601</v>
      </c>
      <c r="E266" s="17" t="s">
        <v>441</v>
      </c>
      <c r="F266" s="16" t="s">
        <v>68</v>
      </c>
      <c r="G266" s="16" t="s">
        <v>371</v>
      </c>
      <c r="H266" s="17" t="s">
        <v>1602</v>
      </c>
      <c r="I266" s="16" t="s">
        <v>74</v>
      </c>
      <c r="J266" s="17" t="s">
        <v>1230</v>
      </c>
      <c r="K266" s="20"/>
    </row>
    <row r="267" ht="15.75" customHeight="1">
      <c r="A267" s="14" t="s">
        <v>97</v>
      </c>
      <c r="B267" s="15">
        <v>149.0</v>
      </c>
      <c r="C267" s="17" t="s">
        <v>1604</v>
      </c>
      <c r="D267" s="17" t="s">
        <v>1605</v>
      </c>
      <c r="E267" s="17" t="s">
        <v>441</v>
      </c>
      <c r="F267" s="16" t="s">
        <v>68</v>
      </c>
      <c r="G267" s="16" t="s">
        <v>371</v>
      </c>
      <c r="H267" s="17" t="s">
        <v>1607</v>
      </c>
      <c r="I267" s="16" t="s">
        <v>74</v>
      </c>
      <c r="J267" s="17" t="s">
        <v>1230</v>
      </c>
      <c r="K267" s="20"/>
    </row>
    <row r="268" ht="15.75" customHeight="1">
      <c r="A268" s="14" t="s">
        <v>97</v>
      </c>
      <c r="B268" s="15">
        <v>150.0</v>
      </c>
      <c r="C268" s="17" t="s">
        <v>389</v>
      </c>
      <c r="D268" s="17" t="s">
        <v>1609</v>
      </c>
      <c r="E268" s="17" t="s">
        <v>369</v>
      </c>
      <c r="F268" s="16" t="s">
        <v>68</v>
      </c>
      <c r="G268" s="16" t="s">
        <v>371</v>
      </c>
      <c r="H268" s="17" t="s">
        <v>949</v>
      </c>
      <c r="I268" s="16" t="s">
        <v>74</v>
      </c>
      <c r="J268" s="17" t="s">
        <v>1611</v>
      </c>
      <c r="K268" s="20"/>
    </row>
    <row r="269" ht="15.75" customHeight="1">
      <c r="A269" s="14" t="s">
        <v>97</v>
      </c>
      <c r="B269" s="15">
        <v>151.0</v>
      </c>
      <c r="C269" s="17" t="s">
        <v>1198</v>
      </c>
      <c r="D269" s="17" t="s">
        <v>1613</v>
      </c>
      <c r="E269" s="17" t="s">
        <v>956</v>
      </c>
      <c r="F269" s="16" t="s">
        <v>68</v>
      </c>
      <c r="G269" s="16" t="s">
        <v>864</v>
      </c>
      <c r="H269" s="17" t="s">
        <v>959</v>
      </c>
      <c r="I269" s="16" t="s">
        <v>74</v>
      </c>
      <c r="J269" s="17" t="s">
        <v>1611</v>
      </c>
      <c r="K269" s="20"/>
    </row>
    <row r="270" ht="15.75" customHeight="1">
      <c r="A270" s="14" t="s">
        <v>97</v>
      </c>
      <c r="B270" s="15">
        <v>152.0</v>
      </c>
      <c r="C270" s="17" t="s">
        <v>1139</v>
      </c>
      <c r="D270" s="17" t="s">
        <v>1615</v>
      </c>
      <c r="E270" s="17" t="s">
        <v>967</v>
      </c>
      <c r="F270" s="16" t="s">
        <v>68</v>
      </c>
      <c r="G270" s="16" t="s">
        <v>970</v>
      </c>
      <c r="H270" s="17" t="s">
        <v>972</v>
      </c>
      <c r="I270" s="16" t="s">
        <v>74</v>
      </c>
      <c r="J270" s="17" t="s">
        <v>1611</v>
      </c>
      <c r="K270" s="20"/>
    </row>
    <row r="271" ht="15.75" customHeight="1">
      <c r="A271" s="14" t="s">
        <v>97</v>
      </c>
      <c r="B271" s="15">
        <v>153.0</v>
      </c>
      <c r="C271" s="17" t="s">
        <v>1617</v>
      </c>
      <c r="D271" s="17" t="s">
        <v>1618</v>
      </c>
      <c r="E271" s="17" t="s">
        <v>979</v>
      </c>
      <c r="F271" s="16" t="s">
        <v>68</v>
      </c>
      <c r="G271" s="16" t="s">
        <v>864</v>
      </c>
      <c r="H271" s="17" t="s">
        <v>983</v>
      </c>
      <c r="I271" s="16" t="s">
        <v>74</v>
      </c>
      <c r="J271" s="17" t="s">
        <v>1611</v>
      </c>
      <c r="K271" s="20"/>
    </row>
    <row r="272" ht="15.75" customHeight="1">
      <c r="A272" s="14" t="s">
        <v>97</v>
      </c>
      <c r="B272" s="15">
        <v>154.0</v>
      </c>
      <c r="C272" s="17" t="s">
        <v>1621</v>
      </c>
      <c r="D272" s="17" t="s">
        <v>930</v>
      </c>
      <c r="E272" s="17" t="s">
        <v>990</v>
      </c>
      <c r="F272" s="16" t="s">
        <v>357</v>
      </c>
      <c r="G272" s="16" t="s">
        <v>864</v>
      </c>
      <c r="H272" s="17" t="s">
        <v>992</v>
      </c>
      <c r="I272" s="16" t="s">
        <v>74</v>
      </c>
      <c r="J272" s="17" t="s">
        <v>1611</v>
      </c>
      <c r="K272" s="20"/>
    </row>
    <row r="273" ht="15.75" customHeight="1">
      <c r="A273" s="14" t="s">
        <v>97</v>
      </c>
      <c r="B273" s="15">
        <v>155.0</v>
      </c>
      <c r="C273" s="17" t="s">
        <v>1623</v>
      </c>
      <c r="D273" s="17" t="s">
        <v>75</v>
      </c>
      <c r="E273" s="17" t="s">
        <v>1001</v>
      </c>
      <c r="F273" s="16" t="s">
        <v>357</v>
      </c>
      <c r="G273" s="16" t="s">
        <v>864</v>
      </c>
      <c r="H273" s="17" t="s">
        <v>992</v>
      </c>
      <c r="I273" s="16" t="s">
        <v>74</v>
      </c>
      <c r="J273" s="17" t="s">
        <v>1611</v>
      </c>
      <c r="K273" s="20"/>
    </row>
    <row r="274" ht="15.75" customHeight="1">
      <c r="A274" s="14" t="s">
        <v>97</v>
      </c>
      <c r="B274" s="15">
        <v>156.0</v>
      </c>
      <c r="C274" s="17" t="s">
        <v>1200</v>
      </c>
      <c r="D274" s="17" t="s">
        <v>1628</v>
      </c>
      <c r="E274" s="17" t="s">
        <v>1012</v>
      </c>
      <c r="F274" s="16" t="s">
        <v>68</v>
      </c>
      <c r="G274" s="16" t="s">
        <v>72</v>
      </c>
      <c r="H274" s="17" t="s">
        <v>1014</v>
      </c>
      <c r="I274" s="16" t="s">
        <v>74</v>
      </c>
      <c r="J274" s="17" t="s">
        <v>1611</v>
      </c>
      <c r="K274" s="20"/>
    </row>
    <row r="275" ht="15.75" customHeight="1">
      <c r="A275" s="14" t="s">
        <v>97</v>
      </c>
      <c r="B275" s="15">
        <v>157.0</v>
      </c>
      <c r="C275" s="17" t="s">
        <v>1634</v>
      </c>
      <c r="D275" s="17" t="s">
        <v>1637</v>
      </c>
      <c r="E275" s="17" t="s">
        <v>386</v>
      </c>
      <c r="F275" s="16" t="s">
        <v>68</v>
      </c>
      <c r="G275" s="16" t="s">
        <v>371</v>
      </c>
      <c r="H275" s="17" t="s">
        <v>1018</v>
      </c>
      <c r="I275" s="16" t="s">
        <v>74</v>
      </c>
      <c r="J275" s="17" t="s">
        <v>1611</v>
      </c>
      <c r="K275" s="20"/>
    </row>
    <row r="276" ht="15.75" customHeight="1">
      <c r="A276" s="14" t="s">
        <v>97</v>
      </c>
      <c r="B276" s="15">
        <v>158.0</v>
      </c>
      <c r="C276" s="17" t="s">
        <v>625</v>
      </c>
      <c r="D276" s="17" t="s">
        <v>1644</v>
      </c>
      <c r="E276" s="17" t="s">
        <v>441</v>
      </c>
      <c r="F276" s="16" t="s">
        <v>68</v>
      </c>
      <c r="G276" s="16" t="s">
        <v>371</v>
      </c>
      <c r="H276" s="17" t="s">
        <v>1022</v>
      </c>
      <c r="I276" s="16" t="s">
        <v>74</v>
      </c>
      <c r="J276" s="17" t="s">
        <v>1611</v>
      </c>
      <c r="K276" s="20"/>
    </row>
    <row r="277" ht="15.75" customHeight="1">
      <c r="A277" s="14" t="s">
        <v>97</v>
      </c>
      <c r="B277" s="15">
        <v>159.0</v>
      </c>
      <c r="C277" s="17" t="s">
        <v>885</v>
      </c>
      <c r="D277" s="17" t="s">
        <v>1651</v>
      </c>
      <c r="E277" s="17" t="s">
        <v>386</v>
      </c>
      <c r="F277" s="16" t="s">
        <v>68</v>
      </c>
      <c r="G277" s="16" t="s">
        <v>371</v>
      </c>
      <c r="H277" s="17" t="s">
        <v>1652</v>
      </c>
      <c r="I277" s="16" t="s">
        <v>74</v>
      </c>
      <c r="J277" s="17" t="s">
        <v>1027</v>
      </c>
      <c r="K277" s="20"/>
    </row>
    <row r="278" ht="15.75" customHeight="1">
      <c r="A278" s="14" t="s">
        <v>97</v>
      </c>
      <c r="B278" s="15">
        <v>160.0</v>
      </c>
      <c r="C278" s="17" t="s">
        <v>1146</v>
      </c>
      <c r="D278" s="17" t="s">
        <v>1656</v>
      </c>
      <c r="E278" s="17" t="s">
        <v>392</v>
      </c>
      <c r="F278" s="16" t="s">
        <v>68</v>
      </c>
      <c r="G278" s="16" t="s">
        <v>371</v>
      </c>
      <c r="H278" s="17" t="s">
        <v>1652</v>
      </c>
      <c r="I278" s="16" t="s">
        <v>74</v>
      </c>
      <c r="J278" s="17" t="s">
        <v>1027</v>
      </c>
      <c r="K278" s="20"/>
    </row>
    <row r="279" ht="15.75" customHeight="1">
      <c r="A279" s="14" t="s">
        <v>97</v>
      </c>
      <c r="B279" s="15">
        <v>161.0</v>
      </c>
      <c r="C279" s="17" t="s">
        <v>1143</v>
      </c>
      <c r="D279" s="17" t="s">
        <v>1662</v>
      </c>
      <c r="E279" s="17" t="s">
        <v>1034</v>
      </c>
      <c r="F279" s="16" t="s">
        <v>181</v>
      </c>
      <c r="G279" s="16" t="s">
        <v>72</v>
      </c>
      <c r="H279" s="17" t="s">
        <v>1652</v>
      </c>
      <c r="I279" s="16" t="s">
        <v>74</v>
      </c>
      <c r="J279" s="17" t="s">
        <v>1027</v>
      </c>
      <c r="K279" s="20"/>
    </row>
    <row r="280" ht="15.75" customHeight="1">
      <c r="A280" s="14" t="s">
        <v>97</v>
      </c>
      <c r="B280" s="15">
        <v>162.0</v>
      </c>
      <c r="C280" s="17" t="s">
        <v>1145</v>
      </c>
      <c r="D280" s="17" t="s">
        <v>1439</v>
      </c>
      <c r="E280" s="17" t="s">
        <v>1037</v>
      </c>
      <c r="F280" s="16" t="s">
        <v>68</v>
      </c>
      <c r="G280" s="16" t="s">
        <v>72</v>
      </c>
      <c r="H280" s="17" t="s">
        <v>1652</v>
      </c>
      <c r="I280" s="16" t="s">
        <v>74</v>
      </c>
      <c r="J280" s="17" t="s">
        <v>1027</v>
      </c>
      <c r="K280" s="20"/>
    </row>
    <row r="281" ht="15.75" customHeight="1">
      <c r="A281" s="14" t="s">
        <v>97</v>
      </c>
      <c r="B281" s="15">
        <v>163.0</v>
      </c>
      <c r="C281" s="17" t="s">
        <v>889</v>
      </c>
      <c r="D281" s="17" t="s">
        <v>1667</v>
      </c>
      <c r="E281" s="17" t="s">
        <v>386</v>
      </c>
      <c r="F281" s="16" t="s">
        <v>68</v>
      </c>
      <c r="G281" s="16" t="s">
        <v>371</v>
      </c>
      <c r="H281" s="17" t="s">
        <v>1668</v>
      </c>
      <c r="I281" s="16" t="s">
        <v>74</v>
      </c>
      <c r="J281" s="17" t="s">
        <v>1027</v>
      </c>
      <c r="K281" s="20"/>
    </row>
    <row r="282" ht="15.75" customHeight="1">
      <c r="A282" s="14" t="s">
        <v>97</v>
      </c>
      <c r="B282" s="15">
        <v>164.0</v>
      </c>
      <c r="C282" s="17" t="s">
        <v>1152</v>
      </c>
      <c r="D282" s="17" t="s">
        <v>1090</v>
      </c>
      <c r="E282" s="17" t="s">
        <v>392</v>
      </c>
      <c r="F282" s="16" t="s">
        <v>68</v>
      </c>
      <c r="G282" s="16" t="s">
        <v>371</v>
      </c>
      <c r="H282" s="17" t="s">
        <v>1668</v>
      </c>
      <c r="I282" s="16" t="s">
        <v>74</v>
      </c>
      <c r="J282" s="17" t="s">
        <v>1027</v>
      </c>
      <c r="K282" s="20"/>
    </row>
    <row r="283" ht="15.75" customHeight="1">
      <c r="A283" s="14" t="s">
        <v>97</v>
      </c>
      <c r="B283" s="15">
        <v>165.0</v>
      </c>
      <c r="C283" s="17" t="s">
        <v>1149</v>
      </c>
      <c r="D283" s="17" t="s">
        <v>1390</v>
      </c>
      <c r="E283" s="17" t="s">
        <v>1034</v>
      </c>
      <c r="F283" s="16" t="s">
        <v>181</v>
      </c>
      <c r="G283" s="16" t="s">
        <v>72</v>
      </c>
      <c r="H283" s="17" t="s">
        <v>1668</v>
      </c>
      <c r="I283" s="16" t="s">
        <v>74</v>
      </c>
      <c r="J283" s="17" t="s">
        <v>1027</v>
      </c>
      <c r="K283" s="20"/>
    </row>
    <row r="284" ht="15.75" customHeight="1">
      <c r="A284" s="14" t="s">
        <v>97</v>
      </c>
      <c r="B284" s="15">
        <v>166.0</v>
      </c>
      <c r="C284" s="17" t="s">
        <v>1151</v>
      </c>
      <c r="D284" s="17" t="s">
        <v>1439</v>
      </c>
      <c r="E284" s="17" t="s">
        <v>1037</v>
      </c>
      <c r="F284" s="16" t="s">
        <v>68</v>
      </c>
      <c r="G284" s="16" t="s">
        <v>72</v>
      </c>
      <c r="H284" s="17" t="s">
        <v>1668</v>
      </c>
      <c r="I284" s="16" t="s">
        <v>74</v>
      </c>
      <c r="J284" s="17" t="s">
        <v>1027</v>
      </c>
      <c r="K284" s="20"/>
    </row>
    <row r="285" ht="15.75" customHeight="1">
      <c r="A285" s="14" t="s">
        <v>97</v>
      </c>
      <c r="B285" s="15">
        <v>167.0</v>
      </c>
      <c r="C285" s="17" t="s">
        <v>1669</v>
      </c>
      <c r="D285" s="17" t="s">
        <v>1670</v>
      </c>
      <c r="E285" s="17" t="s">
        <v>386</v>
      </c>
      <c r="F285" s="16" t="s">
        <v>68</v>
      </c>
      <c r="G285" s="16" t="s">
        <v>371</v>
      </c>
      <c r="H285" s="17" t="s">
        <v>1671</v>
      </c>
      <c r="I285" s="16" t="s">
        <v>74</v>
      </c>
      <c r="J285" s="17" t="s">
        <v>1027</v>
      </c>
      <c r="K285" s="20"/>
    </row>
    <row r="286" ht="15.75" customHeight="1">
      <c r="A286" s="14" t="s">
        <v>97</v>
      </c>
      <c r="B286" s="15">
        <v>168.0</v>
      </c>
      <c r="C286" s="17" t="s">
        <v>1162</v>
      </c>
      <c r="D286" s="17" t="s">
        <v>1055</v>
      </c>
      <c r="E286" s="17" t="s">
        <v>392</v>
      </c>
      <c r="F286" s="16" t="s">
        <v>68</v>
      </c>
      <c r="G286" s="16" t="s">
        <v>371</v>
      </c>
      <c r="H286" s="17" t="s">
        <v>1671</v>
      </c>
      <c r="I286" s="16" t="s">
        <v>74</v>
      </c>
      <c r="J286" s="17" t="s">
        <v>1027</v>
      </c>
      <c r="K286" s="20"/>
    </row>
    <row r="287" ht="15.75" customHeight="1">
      <c r="A287" s="14" t="s">
        <v>97</v>
      </c>
      <c r="B287" s="15">
        <v>169.0</v>
      </c>
      <c r="C287" s="17" t="s">
        <v>1156</v>
      </c>
      <c r="D287" s="17" t="s">
        <v>1124</v>
      </c>
      <c r="E287" s="17" t="s">
        <v>1034</v>
      </c>
      <c r="F287" s="16" t="s">
        <v>181</v>
      </c>
      <c r="G287" s="16" t="s">
        <v>72</v>
      </c>
      <c r="H287" s="17" t="s">
        <v>1671</v>
      </c>
      <c r="I287" s="16" t="s">
        <v>74</v>
      </c>
      <c r="J287" s="17" t="s">
        <v>1027</v>
      </c>
      <c r="K287" s="20"/>
    </row>
    <row r="288" ht="15.75" customHeight="1">
      <c r="A288" s="14" t="s">
        <v>97</v>
      </c>
      <c r="B288" s="15">
        <v>170.0</v>
      </c>
      <c r="C288" s="17" t="s">
        <v>1158</v>
      </c>
      <c r="D288" s="17" t="s">
        <v>1073</v>
      </c>
      <c r="E288" s="17" t="s">
        <v>1037</v>
      </c>
      <c r="F288" s="16" t="s">
        <v>68</v>
      </c>
      <c r="G288" s="16" t="s">
        <v>72</v>
      </c>
      <c r="H288" s="17" t="s">
        <v>1671</v>
      </c>
      <c r="I288" s="16" t="s">
        <v>74</v>
      </c>
      <c r="J288" s="17" t="s">
        <v>1027</v>
      </c>
      <c r="K288" s="20"/>
    </row>
    <row r="289" ht="15.75" customHeight="1">
      <c r="A289" s="14" t="s">
        <v>97</v>
      </c>
      <c r="B289" s="15">
        <v>171.0</v>
      </c>
      <c r="C289" s="17" t="s">
        <v>892</v>
      </c>
      <c r="D289" s="17" t="s">
        <v>1672</v>
      </c>
      <c r="E289" s="17" t="s">
        <v>386</v>
      </c>
      <c r="F289" s="16" t="s">
        <v>68</v>
      </c>
      <c r="G289" s="16" t="s">
        <v>371</v>
      </c>
      <c r="H289" s="17" t="s">
        <v>1673</v>
      </c>
      <c r="I289" s="16" t="s">
        <v>74</v>
      </c>
      <c r="J289" s="17" t="s">
        <v>1027</v>
      </c>
      <c r="K289" s="20"/>
    </row>
    <row r="290" ht="15.75" customHeight="1">
      <c r="A290" s="14" t="s">
        <v>97</v>
      </c>
      <c r="B290" s="15">
        <v>172.0</v>
      </c>
      <c r="C290" s="17" t="s">
        <v>1172</v>
      </c>
      <c r="D290" s="17" t="s">
        <v>1042</v>
      </c>
      <c r="E290" s="17" t="s">
        <v>392</v>
      </c>
      <c r="F290" s="16" t="s">
        <v>68</v>
      </c>
      <c r="G290" s="16" t="s">
        <v>371</v>
      </c>
      <c r="H290" s="17" t="s">
        <v>1673</v>
      </c>
      <c r="I290" s="16" t="s">
        <v>74</v>
      </c>
      <c r="J290" s="17" t="s">
        <v>1027</v>
      </c>
      <c r="K290" s="20"/>
    </row>
    <row r="291" ht="15.75" customHeight="1">
      <c r="A291" s="14" t="s">
        <v>97</v>
      </c>
      <c r="B291" s="15">
        <v>173.0</v>
      </c>
      <c r="C291" s="17" t="s">
        <v>1674</v>
      </c>
      <c r="D291" s="17" t="s">
        <v>1124</v>
      </c>
      <c r="E291" s="17" t="s">
        <v>1034</v>
      </c>
      <c r="F291" s="16" t="s">
        <v>181</v>
      </c>
      <c r="G291" s="16" t="s">
        <v>72</v>
      </c>
      <c r="H291" s="17" t="s">
        <v>1673</v>
      </c>
      <c r="I291" s="16" t="s">
        <v>74</v>
      </c>
      <c r="J291" s="17" t="s">
        <v>1027</v>
      </c>
      <c r="K291" s="20"/>
    </row>
    <row r="292" ht="15.75" customHeight="1">
      <c r="A292" s="14" t="s">
        <v>97</v>
      </c>
      <c r="B292" s="15">
        <v>174.0</v>
      </c>
      <c r="C292" s="17" t="s">
        <v>1168</v>
      </c>
      <c r="D292" s="17" t="s">
        <v>1439</v>
      </c>
      <c r="E292" s="17" t="s">
        <v>1037</v>
      </c>
      <c r="F292" s="16" t="s">
        <v>68</v>
      </c>
      <c r="G292" s="16" t="s">
        <v>72</v>
      </c>
      <c r="H292" s="17" t="s">
        <v>1673</v>
      </c>
      <c r="I292" s="16" t="s">
        <v>74</v>
      </c>
      <c r="J292" s="17" t="s">
        <v>1027</v>
      </c>
      <c r="K292" s="20"/>
    </row>
    <row r="293" ht="15.75" customHeight="1">
      <c r="A293" s="14" t="s">
        <v>97</v>
      </c>
      <c r="B293" s="15">
        <v>175.0</v>
      </c>
      <c r="C293" s="17" t="s">
        <v>896</v>
      </c>
      <c r="D293" s="17" t="s">
        <v>1676</v>
      </c>
      <c r="E293" s="17" t="s">
        <v>386</v>
      </c>
      <c r="F293" s="16" t="s">
        <v>68</v>
      </c>
      <c r="G293" s="16" t="s">
        <v>371</v>
      </c>
      <c r="H293" s="17" t="s">
        <v>1679</v>
      </c>
      <c r="I293" s="16" t="s">
        <v>74</v>
      </c>
      <c r="J293" s="17" t="s">
        <v>1027</v>
      </c>
      <c r="K293" s="20"/>
    </row>
    <row r="294" ht="15.75" customHeight="1">
      <c r="A294" s="14" t="s">
        <v>97</v>
      </c>
      <c r="B294" s="15">
        <v>176.0</v>
      </c>
      <c r="C294" s="17" t="s">
        <v>1184</v>
      </c>
      <c r="D294" s="17" t="s">
        <v>1090</v>
      </c>
      <c r="E294" s="17" t="s">
        <v>392</v>
      </c>
      <c r="F294" s="16" t="s">
        <v>68</v>
      </c>
      <c r="G294" s="16" t="s">
        <v>371</v>
      </c>
      <c r="H294" s="17" t="s">
        <v>1679</v>
      </c>
      <c r="I294" s="16" t="s">
        <v>74</v>
      </c>
      <c r="J294" s="17" t="s">
        <v>1027</v>
      </c>
      <c r="K294" s="20"/>
    </row>
    <row r="295" ht="15.75" customHeight="1">
      <c r="A295" s="14" t="s">
        <v>97</v>
      </c>
      <c r="B295" s="15">
        <v>177.0</v>
      </c>
      <c r="C295" s="17" t="s">
        <v>1683</v>
      </c>
      <c r="D295" s="17" t="s">
        <v>1044</v>
      </c>
      <c r="E295" s="17" t="s">
        <v>1034</v>
      </c>
      <c r="F295" s="16" t="s">
        <v>181</v>
      </c>
      <c r="G295" s="16" t="s">
        <v>72</v>
      </c>
      <c r="H295" s="17" t="s">
        <v>1679</v>
      </c>
      <c r="I295" s="16" t="s">
        <v>74</v>
      </c>
      <c r="J295" s="17" t="s">
        <v>1027</v>
      </c>
      <c r="K295" s="20"/>
    </row>
    <row r="296" ht="15.75" customHeight="1">
      <c r="A296" s="14" t="s">
        <v>97</v>
      </c>
      <c r="B296" s="15">
        <v>178.0</v>
      </c>
      <c r="C296" s="17" t="s">
        <v>1178</v>
      </c>
      <c r="D296" s="17" t="s">
        <v>1439</v>
      </c>
      <c r="E296" s="17" t="s">
        <v>1037</v>
      </c>
      <c r="F296" s="16" t="s">
        <v>68</v>
      </c>
      <c r="G296" s="16" t="s">
        <v>72</v>
      </c>
      <c r="H296" s="17" t="s">
        <v>1679</v>
      </c>
      <c r="I296" s="16" t="s">
        <v>74</v>
      </c>
      <c r="J296" s="17" t="s">
        <v>1027</v>
      </c>
      <c r="K296" s="20"/>
    </row>
    <row r="297" ht="15.75" customHeight="1">
      <c r="A297" s="14" t="s">
        <v>97</v>
      </c>
      <c r="B297" s="15">
        <v>179.0</v>
      </c>
      <c r="C297" s="17" t="s">
        <v>1687</v>
      </c>
      <c r="D297" s="17" t="s">
        <v>1688</v>
      </c>
      <c r="E297" s="17" t="s">
        <v>386</v>
      </c>
      <c r="F297" s="16" t="s">
        <v>68</v>
      </c>
      <c r="G297" s="16" t="s">
        <v>371</v>
      </c>
      <c r="H297" s="17" t="s">
        <v>1691</v>
      </c>
      <c r="I297" s="16" t="s">
        <v>74</v>
      </c>
      <c r="J297" s="17" t="s">
        <v>1027</v>
      </c>
      <c r="K297" s="20"/>
    </row>
    <row r="298" ht="15.75" customHeight="1">
      <c r="A298" s="14" t="s">
        <v>97</v>
      </c>
      <c r="B298" s="15">
        <v>180.0</v>
      </c>
      <c r="C298" s="17" t="s">
        <v>1693</v>
      </c>
      <c r="D298" s="17" t="s">
        <v>1695</v>
      </c>
      <c r="E298" s="17" t="s">
        <v>392</v>
      </c>
      <c r="F298" s="16" t="s">
        <v>68</v>
      </c>
      <c r="G298" s="16" t="s">
        <v>371</v>
      </c>
      <c r="H298" s="17" t="s">
        <v>1691</v>
      </c>
      <c r="I298" s="16" t="s">
        <v>74</v>
      </c>
      <c r="J298" s="17" t="s">
        <v>1027</v>
      </c>
      <c r="K298" s="20"/>
    </row>
    <row r="299" ht="15.75" customHeight="1">
      <c r="A299" s="14" t="s">
        <v>97</v>
      </c>
      <c r="B299" s="15">
        <v>181.0</v>
      </c>
      <c r="C299" s="17" t="s">
        <v>1192</v>
      </c>
      <c r="D299" s="17" t="s">
        <v>1705</v>
      </c>
      <c r="E299" s="17" t="s">
        <v>1034</v>
      </c>
      <c r="F299" s="16" t="s">
        <v>181</v>
      </c>
      <c r="G299" s="16" t="s">
        <v>72</v>
      </c>
      <c r="H299" s="17" t="s">
        <v>1691</v>
      </c>
      <c r="I299" s="16" t="s">
        <v>74</v>
      </c>
      <c r="J299" s="17" t="s">
        <v>1027</v>
      </c>
      <c r="K299" s="20"/>
    </row>
    <row r="300" ht="15.75" customHeight="1">
      <c r="A300" s="14" t="s">
        <v>97</v>
      </c>
      <c r="B300" s="15">
        <v>182.0</v>
      </c>
      <c r="C300" s="17" t="s">
        <v>1715</v>
      </c>
      <c r="D300" s="17" t="s">
        <v>1716</v>
      </c>
      <c r="E300" s="17" t="s">
        <v>1037</v>
      </c>
      <c r="F300" s="16" t="s">
        <v>68</v>
      </c>
      <c r="G300" s="16" t="s">
        <v>72</v>
      </c>
      <c r="H300" s="17" t="s">
        <v>1691</v>
      </c>
      <c r="I300" s="16" t="s">
        <v>74</v>
      </c>
      <c r="J300" s="17" t="s">
        <v>1027</v>
      </c>
      <c r="K300" s="20"/>
    </row>
    <row r="301" ht="15.75" customHeight="1">
      <c r="A301" s="14" t="s">
        <v>97</v>
      </c>
      <c r="B301" s="15">
        <v>183.0</v>
      </c>
      <c r="C301" s="17" t="s">
        <v>1720</v>
      </c>
      <c r="D301" s="17" t="s">
        <v>1721</v>
      </c>
      <c r="E301" s="17" t="s">
        <v>386</v>
      </c>
      <c r="F301" s="16" t="s">
        <v>68</v>
      </c>
      <c r="G301" s="16" t="s">
        <v>371</v>
      </c>
      <c r="H301" s="17" t="s">
        <v>1722</v>
      </c>
      <c r="I301" s="16" t="s">
        <v>74</v>
      </c>
      <c r="J301" s="17" t="s">
        <v>1027</v>
      </c>
      <c r="K301" s="20"/>
    </row>
    <row r="302" ht="15.75" customHeight="1">
      <c r="A302" s="14" t="s">
        <v>97</v>
      </c>
      <c r="B302" s="15">
        <v>184.0</v>
      </c>
      <c r="C302" s="17" t="s">
        <v>1723</v>
      </c>
      <c r="D302" s="17" t="s">
        <v>1695</v>
      </c>
      <c r="E302" s="17" t="s">
        <v>392</v>
      </c>
      <c r="F302" s="16" t="s">
        <v>68</v>
      </c>
      <c r="G302" s="16" t="s">
        <v>371</v>
      </c>
      <c r="H302" s="17" t="s">
        <v>1722</v>
      </c>
      <c r="I302" s="16" t="s">
        <v>74</v>
      </c>
      <c r="J302" s="17" t="s">
        <v>1027</v>
      </c>
      <c r="K302" s="20"/>
    </row>
    <row r="303" ht="15.75" customHeight="1">
      <c r="A303" s="14" t="s">
        <v>97</v>
      </c>
      <c r="B303" s="15">
        <v>185.0</v>
      </c>
      <c r="C303" s="17" t="s">
        <v>1197</v>
      </c>
      <c r="D303" s="17" t="s">
        <v>1725</v>
      </c>
      <c r="E303" s="17" t="s">
        <v>1034</v>
      </c>
      <c r="F303" s="16" t="s">
        <v>181</v>
      </c>
      <c r="G303" s="16" t="s">
        <v>72</v>
      </c>
      <c r="H303" s="17" t="s">
        <v>1722</v>
      </c>
      <c r="I303" s="16" t="s">
        <v>74</v>
      </c>
      <c r="J303" s="17" t="s">
        <v>1027</v>
      </c>
      <c r="K303" s="20"/>
    </row>
    <row r="304" ht="15.75" customHeight="1">
      <c r="A304" s="14" t="s">
        <v>97</v>
      </c>
      <c r="B304" s="15">
        <v>186.0</v>
      </c>
      <c r="C304" s="17" t="s">
        <v>1726</v>
      </c>
      <c r="D304" s="17" t="s">
        <v>1203</v>
      </c>
      <c r="E304" s="17" t="s">
        <v>1037</v>
      </c>
      <c r="F304" s="16" t="s">
        <v>68</v>
      </c>
      <c r="G304" s="16" t="s">
        <v>72</v>
      </c>
      <c r="H304" s="17" t="s">
        <v>1722</v>
      </c>
      <c r="I304" s="16" t="s">
        <v>74</v>
      </c>
      <c r="J304" s="17" t="s">
        <v>1027</v>
      </c>
      <c r="K304" s="20"/>
    </row>
    <row r="305" ht="15.75" customHeight="1">
      <c r="A305" s="14" t="s">
        <v>97</v>
      </c>
      <c r="B305" s="15">
        <v>187.0</v>
      </c>
      <c r="C305" s="17" t="s">
        <v>1724</v>
      </c>
      <c r="D305" s="17" t="s">
        <v>1729</v>
      </c>
      <c r="E305" s="17" t="s">
        <v>386</v>
      </c>
      <c r="F305" s="16" t="s">
        <v>68</v>
      </c>
      <c r="G305" s="16" t="s">
        <v>371</v>
      </c>
      <c r="H305" s="17" t="s">
        <v>1730</v>
      </c>
      <c r="I305" s="16" t="s">
        <v>74</v>
      </c>
      <c r="J305" s="17" t="s">
        <v>1027</v>
      </c>
      <c r="K305" s="20"/>
    </row>
    <row r="306" ht="15.75" customHeight="1">
      <c r="A306" s="14" t="s">
        <v>97</v>
      </c>
      <c r="B306" s="15">
        <v>188.0</v>
      </c>
      <c r="C306" s="17" t="s">
        <v>1732</v>
      </c>
      <c r="D306" s="17" t="s">
        <v>1733</v>
      </c>
      <c r="E306" s="17" t="s">
        <v>392</v>
      </c>
      <c r="F306" s="16" t="s">
        <v>68</v>
      </c>
      <c r="G306" s="16" t="s">
        <v>371</v>
      </c>
      <c r="H306" s="17" t="s">
        <v>1730</v>
      </c>
      <c r="I306" s="16" t="s">
        <v>74</v>
      </c>
      <c r="J306" s="17" t="s">
        <v>1027</v>
      </c>
      <c r="K306" s="20"/>
    </row>
    <row r="307" ht="15.75" customHeight="1">
      <c r="A307" s="14" t="s">
        <v>97</v>
      </c>
      <c r="B307" s="15">
        <v>189.0</v>
      </c>
      <c r="C307" s="17" t="s">
        <v>1734</v>
      </c>
      <c r="D307" s="17" t="s">
        <v>1214</v>
      </c>
      <c r="E307" s="17" t="s">
        <v>1034</v>
      </c>
      <c r="F307" s="16" t="s">
        <v>181</v>
      </c>
      <c r="G307" s="16" t="s">
        <v>72</v>
      </c>
      <c r="H307" s="17" t="s">
        <v>1730</v>
      </c>
      <c r="I307" s="16" t="s">
        <v>74</v>
      </c>
      <c r="J307" s="17" t="s">
        <v>1027</v>
      </c>
      <c r="K307" s="20"/>
    </row>
    <row r="308" ht="15.75" customHeight="1">
      <c r="A308" s="14" t="s">
        <v>97</v>
      </c>
      <c r="B308" s="15">
        <v>190.0</v>
      </c>
      <c r="C308" s="17" t="s">
        <v>1736</v>
      </c>
      <c r="D308" s="17" t="s">
        <v>1737</v>
      </c>
      <c r="E308" s="17" t="s">
        <v>386</v>
      </c>
      <c r="F308" s="16" t="s">
        <v>68</v>
      </c>
      <c r="G308" s="16" t="s">
        <v>371</v>
      </c>
      <c r="H308" s="17" t="s">
        <v>1739</v>
      </c>
      <c r="I308" s="16" t="s">
        <v>74</v>
      </c>
      <c r="J308" s="17" t="s">
        <v>1027</v>
      </c>
      <c r="K308" s="20"/>
    </row>
    <row r="309" ht="15.75" customHeight="1">
      <c r="A309" s="14" t="s">
        <v>97</v>
      </c>
      <c r="B309" s="15">
        <v>191.0</v>
      </c>
      <c r="C309" s="17" t="s">
        <v>1740</v>
      </c>
      <c r="D309" s="17" t="s">
        <v>1159</v>
      </c>
      <c r="E309" s="17" t="s">
        <v>392</v>
      </c>
      <c r="F309" s="16" t="s">
        <v>68</v>
      </c>
      <c r="G309" s="16" t="s">
        <v>371</v>
      </c>
      <c r="H309" s="17" t="s">
        <v>1739</v>
      </c>
      <c r="I309" s="16" t="s">
        <v>74</v>
      </c>
      <c r="J309" s="17" t="s">
        <v>1027</v>
      </c>
      <c r="K309" s="20"/>
    </row>
    <row r="310" ht="15.75" customHeight="1">
      <c r="A310" s="14" t="s">
        <v>97</v>
      </c>
      <c r="B310" s="15">
        <v>192.0</v>
      </c>
      <c r="C310" s="17" t="s">
        <v>1742</v>
      </c>
      <c r="D310" s="17" t="s">
        <v>1214</v>
      </c>
      <c r="E310" s="17" t="s">
        <v>1034</v>
      </c>
      <c r="F310" s="16" t="s">
        <v>181</v>
      </c>
      <c r="G310" s="16" t="s">
        <v>72</v>
      </c>
      <c r="H310" s="17" t="s">
        <v>1739</v>
      </c>
      <c r="I310" s="16" t="s">
        <v>74</v>
      </c>
      <c r="J310" s="17" t="s">
        <v>1027</v>
      </c>
      <c r="K310" s="20"/>
    </row>
    <row r="311" ht="15.75" customHeight="1">
      <c r="A311" s="14" t="s">
        <v>97</v>
      </c>
      <c r="B311" s="15">
        <v>193.0</v>
      </c>
      <c r="C311" s="17" t="s">
        <v>1743</v>
      </c>
      <c r="D311" s="17" t="s">
        <v>1744</v>
      </c>
      <c r="E311" s="17" t="s">
        <v>386</v>
      </c>
      <c r="F311" s="16" t="s">
        <v>68</v>
      </c>
      <c r="G311" s="16" t="s">
        <v>371</v>
      </c>
      <c r="H311" s="17" t="s">
        <v>1745</v>
      </c>
      <c r="I311" s="16" t="s">
        <v>74</v>
      </c>
      <c r="J311" s="17" t="s">
        <v>1027</v>
      </c>
      <c r="K311" s="20"/>
    </row>
    <row r="312" ht="15.75" customHeight="1">
      <c r="A312" s="14" t="s">
        <v>97</v>
      </c>
      <c r="B312" s="15">
        <v>194.0</v>
      </c>
      <c r="C312" s="17" t="s">
        <v>1746</v>
      </c>
      <c r="D312" s="17" t="s">
        <v>1747</v>
      </c>
      <c r="E312" s="17" t="s">
        <v>392</v>
      </c>
      <c r="F312" s="16" t="s">
        <v>68</v>
      </c>
      <c r="G312" s="16" t="s">
        <v>371</v>
      </c>
      <c r="H312" s="17" t="s">
        <v>1745</v>
      </c>
      <c r="I312" s="16" t="s">
        <v>74</v>
      </c>
      <c r="J312" s="17" t="s">
        <v>1027</v>
      </c>
      <c r="K312" s="20"/>
    </row>
    <row r="313" ht="15.75" customHeight="1">
      <c r="A313" s="14" t="s">
        <v>97</v>
      </c>
      <c r="B313" s="15">
        <v>195.0</v>
      </c>
      <c r="C313" s="17" t="s">
        <v>1749</v>
      </c>
      <c r="D313" s="17" t="s">
        <v>1214</v>
      </c>
      <c r="E313" s="17" t="s">
        <v>1034</v>
      </c>
      <c r="F313" s="16" t="s">
        <v>181</v>
      </c>
      <c r="G313" s="16" t="s">
        <v>72</v>
      </c>
      <c r="H313" s="17" t="s">
        <v>1745</v>
      </c>
      <c r="I313" s="16" t="s">
        <v>74</v>
      </c>
      <c r="J313" s="17" t="s">
        <v>1027</v>
      </c>
      <c r="K313" s="20"/>
    </row>
    <row r="314" ht="15.75" customHeight="1">
      <c r="A314" s="14" t="s">
        <v>97</v>
      </c>
      <c r="B314" s="15">
        <v>196.0</v>
      </c>
      <c r="C314" s="17" t="s">
        <v>1752</v>
      </c>
      <c r="D314" s="17" t="s">
        <v>1753</v>
      </c>
      <c r="E314" s="17" t="s">
        <v>386</v>
      </c>
      <c r="F314" s="16" t="s">
        <v>68</v>
      </c>
      <c r="G314" s="16" t="s">
        <v>371</v>
      </c>
      <c r="H314" s="17" t="s">
        <v>1754</v>
      </c>
      <c r="I314" s="16" t="s">
        <v>74</v>
      </c>
      <c r="J314" s="17" t="s">
        <v>1027</v>
      </c>
      <c r="K314" s="20"/>
    </row>
    <row r="315" ht="15.75" customHeight="1">
      <c r="A315" s="14" t="s">
        <v>97</v>
      </c>
      <c r="B315" s="15">
        <v>197.0</v>
      </c>
      <c r="C315" s="17" t="s">
        <v>1756</v>
      </c>
      <c r="D315" s="17" t="s">
        <v>1747</v>
      </c>
      <c r="E315" s="17" t="s">
        <v>392</v>
      </c>
      <c r="F315" s="16" t="s">
        <v>68</v>
      </c>
      <c r="G315" s="16" t="s">
        <v>371</v>
      </c>
      <c r="H315" s="17" t="s">
        <v>1754</v>
      </c>
      <c r="I315" s="16" t="s">
        <v>74</v>
      </c>
      <c r="J315" s="17" t="s">
        <v>1027</v>
      </c>
      <c r="K315" s="20"/>
    </row>
    <row r="316" ht="15.75" customHeight="1">
      <c r="A316" s="14" t="s">
        <v>97</v>
      </c>
      <c r="B316" s="15">
        <v>198.0</v>
      </c>
      <c r="C316" s="17" t="s">
        <v>1757</v>
      </c>
      <c r="D316" s="17" t="s">
        <v>1214</v>
      </c>
      <c r="E316" s="17" t="s">
        <v>1034</v>
      </c>
      <c r="F316" s="16" t="s">
        <v>181</v>
      </c>
      <c r="G316" s="16" t="s">
        <v>72</v>
      </c>
      <c r="H316" s="17" t="s">
        <v>1754</v>
      </c>
      <c r="I316" s="16" t="s">
        <v>74</v>
      </c>
      <c r="J316" s="17" t="s">
        <v>1027</v>
      </c>
      <c r="K316" s="20"/>
    </row>
    <row r="317" ht="15.75" customHeight="1">
      <c r="A317" s="14" t="s">
        <v>97</v>
      </c>
      <c r="B317" s="15">
        <v>199.0</v>
      </c>
      <c r="C317" s="17" t="s">
        <v>1685</v>
      </c>
      <c r="D317" s="17" t="s">
        <v>1759</v>
      </c>
      <c r="E317" s="17" t="s">
        <v>386</v>
      </c>
      <c r="F317" s="16" t="s">
        <v>68</v>
      </c>
      <c r="G317" s="16" t="s">
        <v>371</v>
      </c>
      <c r="H317" s="17" t="s">
        <v>1760</v>
      </c>
      <c r="I317" s="16" t="s">
        <v>74</v>
      </c>
      <c r="J317" s="17" t="s">
        <v>1027</v>
      </c>
      <c r="K317" s="20"/>
    </row>
    <row r="318" ht="15.75" customHeight="1">
      <c r="A318" s="14" t="s">
        <v>97</v>
      </c>
      <c r="B318" s="15">
        <v>200.0</v>
      </c>
      <c r="C318" s="17" t="s">
        <v>1762</v>
      </c>
      <c r="D318" s="17" t="s">
        <v>1747</v>
      </c>
      <c r="E318" s="17" t="s">
        <v>392</v>
      </c>
      <c r="F318" s="16" t="s">
        <v>68</v>
      </c>
      <c r="G318" s="16" t="s">
        <v>371</v>
      </c>
      <c r="H318" s="17" t="s">
        <v>1760</v>
      </c>
      <c r="I318" s="16" t="s">
        <v>74</v>
      </c>
      <c r="J318" s="17" t="s">
        <v>1027</v>
      </c>
      <c r="K318" s="20"/>
    </row>
    <row r="319" ht="15.75" customHeight="1">
      <c r="A319" s="14" t="s">
        <v>97</v>
      </c>
      <c r="B319" s="15">
        <v>201.0</v>
      </c>
      <c r="C319" s="17" t="s">
        <v>1763</v>
      </c>
      <c r="D319" s="17" t="s">
        <v>1214</v>
      </c>
      <c r="E319" s="17" t="s">
        <v>1034</v>
      </c>
      <c r="F319" s="16" t="s">
        <v>181</v>
      </c>
      <c r="G319" s="16" t="s">
        <v>72</v>
      </c>
      <c r="H319" s="17" t="s">
        <v>1760</v>
      </c>
      <c r="I319" s="16" t="s">
        <v>74</v>
      </c>
      <c r="J319" s="17" t="s">
        <v>1027</v>
      </c>
      <c r="K319" s="20"/>
    </row>
    <row r="320" ht="15.75" customHeight="1">
      <c r="A320" s="14" t="s">
        <v>97</v>
      </c>
      <c r="B320" s="15">
        <v>202.0</v>
      </c>
      <c r="C320" s="17" t="s">
        <v>608</v>
      </c>
      <c r="D320" s="17" t="s">
        <v>1766</v>
      </c>
      <c r="E320" s="17" t="s">
        <v>441</v>
      </c>
      <c r="F320" s="16" t="s">
        <v>68</v>
      </c>
      <c r="G320" s="16" t="s">
        <v>371</v>
      </c>
      <c r="H320" s="17" t="s">
        <v>1767</v>
      </c>
      <c r="I320" s="16" t="s">
        <v>74</v>
      </c>
      <c r="J320" s="17" t="s">
        <v>1230</v>
      </c>
      <c r="K320" s="20"/>
    </row>
    <row r="321" ht="15.75" customHeight="1">
      <c r="A321" s="14" t="s">
        <v>97</v>
      </c>
      <c r="B321" s="15">
        <v>203.0</v>
      </c>
      <c r="C321" s="17" t="s">
        <v>612</v>
      </c>
      <c r="D321" s="17" t="s">
        <v>1770</v>
      </c>
      <c r="E321" s="17" t="s">
        <v>441</v>
      </c>
      <c r="F321" s="16" t="s">
        <v>68</v>
      </c>
      <c r="G321" s="16" t="s">
        <v>371</v>
      </c>
      <c r="H321" s="17" t="s">
        <v>1771</v>
      </c>
      <c r="I321" s="16" t="s">
        <v>74</v>
      </c>
      <c r="J321" s="17" t="s">
        <v>1230</v>
      </c>
      <c r="K321" s="20"/>
    </row>
    <row r="322" ht="15.75" customHeight="1">
      <c r="A322" s="14" t="s">
        <v>97</v>
      </c>
      <c r="B322" s="15">
        <v>204.0</v>
      </c>
      <c r="C322" s="17" t="s">
        <v>619</v>
      </c>
      <c r="D322" s="17" t="s">
        <v>1773</v>
      </c>
      <c r="E322" s="17" t="s">
        <v>441</v>
      </c>
      <c r="F322" s="16" t="s">
        <v>68</v>
      </c>
      <c r="G322" s="16" t="s">
        <v>371</v>
      </c>
      <c r="H322" s="17" t="s">
        <v>1774</v>
      </c>
      <c r="I322" s="16" t="s">
        <v>74</v>
      </c>
      <c r="J322" s="17" t="s">
        <v>1230</v>
      </c>
      <c r="K322" s="20"/>
    </row>
    <row r="323" ht="15.75" customHeight="1">
      <c r="A323" s="14" t="s">
        <v>97</v>
      </c>
      <c r="B323" s="15">
        <v>205.0</v>
      </c>
      <c r="C323" s="17" t="s">
        <v>1776</v>
      </c>
      <c r="D323" s="17" t="s">
        <v>1777</v>
      </c>
      <c r="E323" s="17" t="s">
        <v>441</v>
      </c>
      <c r="F323" s="16" t="s">
        <v>68</v>
      </c>
      <c r="G323" s="16" t="s">
        <v>371</v>
      </c>
      <c r="H323" s="17" t="s">
        <v>1778</v>
      </c>
      <c r="I323" s="16" t="s">
        <v>74</v>
      </c>
      <c r="J323" s="17" t="s">
        <v>1230</v>
      </c>
      <c r="K323" s="20"/>
    </row>
    <row r="324" ht="15.75" customHeight="1">
      <c r="A324" s="14" t="s">
        <v>97</v>
      </c>
      <c r="B324" s="15">
        <v>206.0</v>
      </c>
      <c r="C324" s="17" t="s">
        <v>1779</v>
      </c>
      <c r="D324" s="17" t="s">
        <v>1780</v>
      </c>
      <c r="E324" s="17" t="s">
        <v>441</v>
      </c>
      <c r="F324" s="16" t="s">
        <v>68</v>
      </c>
      <c r="G324" s="16" t="s">
        <v>371</v>
      </c>
      <c r="H324" s="17" t="s">
        <v>1781</v>
      </c>
      <c r="I324" s="16" t="s">
        <v>74</v>
      </c>
      <c r="J324" s="17" t="s">
        <v>1230</v>
      </c>
      <c r="K324" s="20"/>
    </row>
    <row r="325" ht="15.75" customHeight="1">
      <c r="A325" s="14" t="s">
        <v>97</v>
      </c>
      <c r="B325" s="15">
        <v>207.0</v>
      </c>
      <c r="C325" s="17" t="s">
        <v>1783</v>
      </c>
      <c r="D325" s="17" t="s">
        <v>1784</v>
      </c>
      <c r="E325" s="17" t="s">
        <v>441</v>
      </c>
      <c r="F325" s="16" t="s">
        <v>68</v>
      </c>
      <c r="G325" s="16" t="s">
        <v>371</v>
      </c>
      <c r="H325" s="17" t="s">
        <v>1786</v>
      </c>
      <c r="I325" s="16" t="s">
        <v>74</v>
      </c>
      <c r="J325" s="17" t="s">
        <v>1230</v>
      </c>
      <c r="K325" s="20"/>
    </row>
    <row r="326" ht="15.75" customHeight="1">
      <c r="A326" s="14" t="s">
        <v>97</v>
      </c>
      <c r="B326" s="15">
        <v>208.0</v>
      </c>
      <c r="C326" s="17" t="s">
        <v>1788</v>
      </c>
      <c r="D326" s="17" t="s">
        <v>1789</v>
      </c>
      <c r="E326" s="17" t="s">
        <v>441</v>
      </c>
      <c r="F326" s="16" t="s">
        <v>68</v>
      </c>
      <c r="G326" s="16" t="s">
        <v>371</v>
      </c>
      <c r="H326" s="17" t="s">
        <v>1790</v>
      </c>
      <c r="I326" s="16" t="s">
        <v>74</v>
      </c>
      <c r="J326" s="17" t="s">
        <v>1230</v>
      </c>
      <c r="K326" s="20"/>
    </row>
    <row r="327" ht="15.75" customHeight="1">
      <c r="A327" s="14" t="s">
        <v>97</v>
      </c>
      <c r="B327" s="15">
        <v>209.0</v>
      </c>
      <c r="C327" s="17" t="s">
        <v>1792</v>
      </c>
      <c r="D327" s="17" t="s">
        <v>1793</v>
      </c>
      <c r="E327" s="17" t="s">
        <v>441</v>
      </c>
      <c r="F327" s="16" t="s">
        <v>68</v>
      </c>
      <c r="G327" s="16" t="s">
        <v>371</v>
      </c>
      <c r="H327" s="17" t="s">
        <v>1795</v>
      </c>
      <c r="I327" s="16" t="s">
        <v>74</v>
      </c>
      <c r="J327" s="17" t="s">
        <v>1230</v>
      </c>
      <c r="K327" s="20"/>
    </row>
    <row r="328" ht="15.75" customHeight="1">
      <c r="A328" s="14" t="s">
        <v>97</v>
      </c>
      <c r="B328" s="15">
        <v>210.0</v>
      </c>
      <c r="C328" s="17" t="s">
        <v>393</v>
      </c>
      <c r="D328" s="17" t="s">
        <v>1797</v>
      </c>
      <c r="E328" s="17" t="s">
        <v>369</v>
      </c>
      <c r="F328" s="16" t="s">
        <v>68</v>
      </c>
      <c r="G328" s="16" t="s">
        <v>371</v>
      </c>
      <c r="H328" s="17" t="s">
        <v>949</v>
      </c>
      <c r="I328" s="16" t="s">
        <v>74</v>
      </c>
      <c r="J328" s="17" t="s">
        <v>1798</v>
      </c>
      <c r="K328" s="20"/>
    </row>
    <row r="329" ht="15.75" customHeight="1">
      <c r="A329" s="14" t="s">
        <v>97</v>
      </c>
      <c r="B329" s="15">
        <v>211.0</v>
      </c>
      <c r="C329" s="17" t="s">
        <v>1231</v>
      </c>
      <c r="D329" s="17" t="s">
        <v>1800</v>
      </c>
      <c r="E329" s="17" t="s">
        <v>956</v>
      </c>
      <c r="F329" s="16" t="s">
        <v>68</v>
      </c>
      <c r="G329" s="16" t="s">
        <v>864</v>
      </c>
      <c r="H329" s="17" t="s">
        <v>959</v>
      </c>
      <c r="I329" s="16" t="s">
        <v>74</v>
      </c>
      <c r="J329" s="17" t="s">
        <v>1798</v>
      </c>
      <c r="K329" s="20"/>
    </row>
    <row r="330" ht="15.75" customHeight="1">
      <c r="A330" s="14" t="s">
        <v>97</v>
      </c>
      <c r="B330" s="15">
        <v>212.0</v>
      </c>
      <c r="C330" s="17" t="s">
        <v>1202</v>
      </c>
      <c r="D330" s="17" t="s">
        <v>1801</v>
      </c>
      <c r="E330" s="17" t="s">
        <v>967</v>
      </c>
      <c r="F330" s="16" t="s">
        <v>68</v>
      </c>
      <c r="G330" s="16" t="s">
        <v>970</v>
      </c>
      <c r="H330" s="17" t="s">
        <v>972</v>
      </c>
      <c r="I330" s="16" t="s">
        <v>74</v>
      </c>
      <c r="J330" s="17" t="s">
        <v>1798</v>
      </c>
      <c r="K330" s="20"/>
    </row>
    <row r="331" ht="15.75" customHeight="1">
      <c r="A331" s="14" t="s">
        <v>97</v>
      </c>
      <c r="B331" s="15">
        <v>213.0</v>
      </c>
      <c r="C331" s="17" t="s">
        <v>1802</v>
      </c>
      <c r="D331" s="17" t="s">
        <v>1803</v>
      </c>
      <c r="E331" s="17" t="s">
        <v>979</v>
      </c>
      <c r="F331" s="16" t="s">
        <v>68</v>
      </c>
      <c r="G331" s="16" t="s">
        <v>864</v>
      </c>
      <c r="H331" s="17" t="s">
        <v>983</v>
      </c>
      <c r="I331" s="16" t="s">
        <v>74</v>
      </c>
      <c r="J331" s="17" t="s">
        <v>1798</v>
      </c>
      <c r="K331" s="20"/>
    </row>
    <row r="332" ht="15.75" customHeight="1">
      <c r="A332" s="14" t="s">
        <v>97</v>
      </c>
      <c r="B332" s="15">
        <v>214.0</v>
      </c>
      <c r="C332" s="17" t="s">
        <v>1804</v>
      </c>
      <c r="D332" s="17" t="s">
        <v>930</v>
      </c>
      <c r="E332" s="17" t="s">
        <v>990</v>
      </c>
      <c r="F332" s="16" t="s">
        <v>357</v>
      </c>
      <c r="G332" s="16" t="s">
        <v>864</v>
      </c>
      <c r="H332" s="17" t="s">
        <v>992</v>
      </c>
      <c r="I332" s="16" t="s">
        <v>74</v>
      </c>
      <c r="J332" s="17" t="s">
        <v>1798</v>
      </c>
      <c r="K332" s="20"/>
    </row>
    <row r="333" ht="15.75" customHeight="1">
      <c r="A333" s="14" t="s">
        <v>97</v>
      </c>
      <c r="B333" s="15">
        <v>215.0</v>
      </c>
      <c r="C333" s="17" t="s">
        <v>1805</v>
      </c>
      <c r="D333" s="17" t="s">
        <v>930</v>
      </c>
      <c r="E333" s="17" t="s">
        <v>1001</v>
      </c>
      <c r="F333" s="16" t="s">
        <v>357</v>
      </c>
      <c r="G333" s="16" t="s">
        <v>864</v>
      </c>
      <c r="H333" s="17" t="s">
        <v>992</v>
      </c>
      <c r="I333" s="16" t="s">
        <v>74</v>
      </c>
      <c r="J333" s="17" t="s">
        <v>1798</v>
      </c>
      <c r="K333" s="20"/>
    </row>
    <row r="334" ht="15.75" customHeight="1">
      <c r="A334" s="14" t="s">
        <v>97</v>
      </c>
      <c r="B334" s="15">
        <v>216.0</v>
      </c>
      <c r="C334" s="17" t="s">
        <v>1233</v>
      </c>
      <c r="D334" s="17" t="s">
        <v>1806</v>
      </c>
      <c r="E334" s="17" t="s">
        <v>1012</v>
      </c>
      <c r="F334" s="16" t="s">
        <v>68</v>
      </c>
      <c r="G334" s="16" t="s">
        <v>72</v>
      </c>
      <c r="H334" s="17" t="s">
        <v>1014</v>
      </c>
      <c r="I334" s="16" t="s">
        <v>74</v>
      </c>
      <c r="J334" s="17" t="s">
        <v>1798</v>
      </c>
      <c r="K334" s="20"/>
    </row>
    <row r="335" ht="15.75" customHeight="1">
      <c r="A335" s="14" t="s">
        <v>97</v>
      </c>
      <c r="B335" s="15">
        <v>217.0</v>
      </c>
      <c r="C335" s="17" t="s">
        <v>904</v>
      </c>
      <c r="D335" s="17" t="s">
        <v>1807</v>
      </c>
      <c r="E335" s="17" t="s">
        <v>386</v>
      </c>
      <c r="F335" s="16" t="s">
        <v>68</v>
      </c>
      <c r="G335" s="16" t="s">
        <v>371</v>
      </c>
      <c r="H335" s="17" t="s">
        <v>1018</v>
      </c>
      <c r="I335" s="16" t="s">
        <v>74</v>
      </c>
      <c r="J335" s="17" t="s">
        <v>1798</v>
      </c>
      <c r="K335" s="20"/>
    </row>
    <row r="336" ht="15.75" customHeight="1">
      <c r="A336" s="14" t="s">
        <v>97</v>
      </c>
      <c r="B336" s="15">
        <v>218.0</v>
      </c>
      <c r="C336" s="17" t="s">
        <v>646</v>
      </c>
      <c r="D336" s="17" t="s">
        <v>1808</v>
      </c>
      <c r="E336" s="17" t="s">
        <v>441</v>
      </c>
      <c r="F336" s="16" t="s">
        <v>68</v>
      </c>
      <c r="G336" s="16" t="s">
        <v>371</v>
      </c>
      <c r="H336" s="17" t="s">
        <v>1022</v>
      </c>
      <c r="I336" s="16" t="s">
        <v>74</v>
      </c>
      <c r="J336" s="17" t="s">
        <v>1798</v>
      </c>
      <c r="K336" s="20"/>
    </row>
    <row r="337" ht="15.75" customHeight="1">
      <c r="A337" s="14" t="s">
        <v>97</v>
      </c>
      <c r="B337" s="15">
        <v>219.0</v>
      </c>
      <c r="C337" s="17" t="s">
        <v>899</v>
      </c>
      <c r="D337" s="17" t="s">
        <v>1809</v>
      </c>
      <c r="E337" s="17" t="s">
        <v>386</v>
      </c>
      <c r="F337" s="16" t="s">
        <v>68</v>
      </c>
      <c r="G337" s="16" t="s">
        <v>371</v>
      </c>
      <c r="H337" s="17" t="s">
        <v>1810</v>
      </c>
      <c r="I337" s="16" t="s">
        <v>74</v>
      </c>
      <c r="J337" s="17" t="s">
        <v>1027</v>
      </c>
      <c r="K337" s="20"/>
    </row>
    <row r="338" ht="15.75" customHeight="1">
      <c r="A338" s="14" t="s">
        <v>97</v>
      </c>
      <c r="B338" s="15">
        <v>220.0</v>
      </c>
      <c r="C338" s="17" t="s">
        <v>1211</v>
      </c>
      <c r="D338" s="17" t="s">
        <v>1811</v>
      </c>
      <c r="E338" s="17" t="s">
        <v>392</v>
      </c>
      <c r="F338" s="16" t="s">
        <v>68</v>
      </c>
      <c r="G338" s="16" t="s">
        <v>371</v>
      </c>
      <c r="H338" s="17" t="s">
        <v>1810</v>
      </c>
      <c r="I338" s="16" t="s">
        <v>74</v>
      </c>
      <c r="J338" s="17" t="s">
        <v>1027</v>
      </c>
      <c r="K338" s="20"/>
    </row>
    <row r="339" ht="15.75" customHeight="1">
      <c r="A339" s="14" t="s">
        <v>97</v>
      </c>
      <c r="B339" s="15">
        <v>221.0</v>
      </c>
      <c r="C339" s="17" t="s">
        <v>1206</v>
      </c>
      <c r="D339" s="17" t="s">
        <v>1812</v>
      </c>
      <c r="E339" s="17" t="s">
        <v>1034</v>
      </c>
      <c r="F339" s="16" t="s">
        <v>181</v>
      </c>
      <c r="G339" s="16" t="s">
        <v>72</v>
      </c>
      <c r="H339" s="17" t="s">
        <v>1810</v>
      </c>
      <c r="I339" s="16" t="s">
        <v>74</v>
      </c>
      <c r="J339" s="17" t="s">
        <v>1027</v>
      </c>
      <c r="K339" s="20"/>
    </row>
    <row r="340" ht="15.75" customHeight="1">
      <c r="A340" s="14" t="s">
        <v>97</v>
      </c>
      <c r="B340" s="15">
        <v>222.0</v>
      </c>
      <c r="C340" s="17" t="s">
        <v>1208</v>
      </c>
      <c r="D340" s="17" t="s">
        <v>1439</v>
      </c>
      <c r="E340" s="17" t="s">
        <v>1037</v>
      </c>
      <c r="F340" s="16" t="s">
        <v>68</v>
      </c>
      <c r="G340" s="16" t="s">
        <v>72</v>
      </c>
      <c r="H340" s="17" t="s">
        <v>1810</v>
      </c>
      <c r="I340" s="16" t="s">
        <v>74</v>
      </c>
      <c r="J340" s="17" t="s">
        <v>1027</v>
      </c>
      <c r="K340" s="20"/>
    </row>
    <row r="341" ht="15.75" customHeight="1">
      <c r="A341" s="14" t="s">
        <v>97</v>
      </c>
      <c r="B341" s="15">
        <v>223.0</v>
      </c>
      <c r="C341" s="17" t="s">
        <v>1727</v>
      </c>
      <c r="D341" s="17" t="s">
        <v>1813</v>
      </c>
      <c r="E341" s="17" t="s">
        <v>386</v>
      </c>
      <c r="F341" s="16" t="s">
        <v>68</v>
      </c>
      <c r="G341" s="16" t="s">
        <v>371</v>
      </c>
      <c r="H341" s="17" t="s">
        <v>1814</v>
      </c>
      <c r="I341" s="16" t="s">
        <v>74</v>
      </c>
      <c r="J341" s="17" t="s">
        <v>1027</v>
      </c>
      <c r="K341" s="20"/>
    </row>
    <row r="342" ht="15.75" customHeight="1">
      <c r="A342" s="14" t="s">
        <v>97</v>
      </c>
      <c r="B342" s="15">
        <v>224.0</v>
      </c>
      <c r="C342" s="17" t="s">
        <v>1218</v>
      </c>
      <c r="D342" s="17" t="s">
        <v>1695</v>
      </c>
      <c r="E342" s="17" t="s">
        <v>392</v>
      </c>
      <c r="F342" s="16" t="s">
        <v>68</v>
      </c>
      <c r="G342" s="16" t="s">
        <v>371</v>
      </c>
      <c r="H342" s="17" t="s">
        <v>1814</v>
      </c>
      <c r="I342" s="16" t="s">
        <v>74</v>
      </c>
      <c r="J342" s="17" t="s">
        <v>1027</v>
      </c>
      <c r="K342" s="20"/>
    </row>
    <row r="343" ht="15.75" customHeight="1">
      <c r="A343" s="14" t="s">
        <v>97</v>
      </c>
      <c r="B343" s="15">
        <v>225.0</v>
      </c>
      <c r="C343" s="17" t="s">
        <v>1213</v>
      </c>
      <c r="D343" s="17" t="s">
        <v>1124</v>
      </c>
      <c r="E343" s="17" t="s">
        <v>1034</v>
      </c>
      <c r="F343" s="16" t="s">
        <v>181</v>
      </c>
      <c r="G343" s="16" t="s">
        <v>72</v>
      </c>
      <c r="H343" s="17" t="s">
        <v>1814</v>
      </c>
      <c r="I343" s="16" t="s">
        <v>74</v>
      </c>
      <c r="J343" s="17" t="s">
        <v>1027</v>
      </c>
      <c r="K343" s="20"/>
    </row>
    <row r="344" ht="15.75" customHeight="1">
      <c r="A344" s="14" t="s">
        <v>97</v>
      </c>
      <c r="B344" s="15">
        <v>226.0</v>
      </c>
      <c r="C344" s="17" t="s">
        <v>1215</v>
      </c>
      <c r="D344" s="17" t="s">
        <v>1815</v>
      </c>
      <c r="E344" s="17" t="s">
        <v>1037</v>
      </c>
      <c r="F344" s="16" t="s">
        <v>68</v>
      </c>
      <c r="G344" s="16" t="s">
        <v>72</v>
      </c>
      <c r="H344" s="17" t="s">
        <v>1814</v>
      </c>
      <c r="I344" s="16" t="s">
        <v>74</v>
      </c>
      <c r="J344" s="17" t="s">
        <v>1027</v>
      </c>
      <c r="K344" s="20"/>
    </row>
    <row r="345" ht="15.75" customHeight="1">
      <c r="A345" s="14" t="s">
        <v>97</v>
      </c>
      <c r="B345" s="15">
        <v>227.0</v>
      </c>
      <c r="C345" s="17" t="s">
        <v>1728</v>
      </c>
      <c r="D345" s="17" t="s">
        <v>1816</v>
      </c>
      <c r="E345" s="17" t="s">
        <v>386</v>
      </c>
      <c r="F345" s="16" t="s">
        <v>68</v>
      </c>
      <c r="G345" s="16" t="s">
        <v>371</v>
      </c>
      <c r="H345" s="17" t="s">
        <v>1817</v>
      </c>
      <c r="I345" s="16" t="s">
        <v>74</v>
      </c>
      <c r="J345" s="17" t="s">
        <v>1027</v>
      </c>
      <c r="K345" s="20"/>
    </row>
    <row r="346" ht="15.75" customHeight="1">
      <c r="A346" s="14" t="s">
        <v>97</v>
      </c>
      <c r="B346" s="15">
        <v>228.0</v>
      </c>
      <c r="C346" s="17" t="s">
        <v>1223</v>
      </c>
      <c r="D346" s="17" t="s">
        <v>1055</v>
      </c>
      <c r="E346" s="17" t="s">
        <v>392</v>
      </c>
      <c r="F346" s="16" t="s">
        <v>68</v>
      </c>
      <c r="G346" s="16" t="s">
        <v>371</v>
      </c>
      <c r="H346" s="17" t="s">
        <v>1817</v>
      </c>
      <c r="I346" s="16" t="s">
        <v>74</v>
      </c>
      <c r="J346" s="17" t="s">
        <v>1027</v>
      </c>
      <c r="K346" s="20"/>
    </row>
    <row r="347" ht="15.75" customHeight="1">
      <c r="A347" s="14" t="s">
        <v>97</v>
      </c>
      <c r="B347" s="15">
        <v>229.0</v>
      </c>
      <c r="C347" s="17" t="s">
        <v>1818</v>
      </c>
      <c r="D347" s="17" t="s">
        <v>1124</v>
      </c>
      <c r="E347" s="17" t="s">
        <v>1034</v>
      </c>
      <c r="F347" s="16" t="s">
        <v>181</v>
      </c>
      <c r="G347" s="16" t="s">
        <v>72</v>
      </c>
      <c r="H347" s="17" t="s">
        <v>1817</v>
      </c>
      <c r="I347" s="16" t="s">
        <v>74</v>
      </c>
      <c r="J347" s="17" t="s">
        <v>1027</v>
      </c>
      <c r="K347" s="20"/>
    </row>
    <row r="348" ht="15.75" customHeight="1">
      <c r="A348" s="14" t="s">
        <v>97</v>
      </c>
      <c r="B348" s="15">
        <v>230.0</v>
      </c>
      <c r="C348" s="17" t="s">
        <v>1220</v>
      </c>
      <c r="D348" s="17" t="s">
        <v>1439</v>
      </c>
      <c r="E348" s="17" t="s">
        <v>1037</v>
      </c>
      <c r="F348" s="16" t="s">
        <v>68</v>
      </c>
      <c r="G348" s="16" t="s">
        <v>72</v>
      </c>
      <c r="H348" s="17" t="s">
        <v>1817</v>
      </c>
      <c r="I348" s="16" t="s">
        <v>74</v>
      </c>
      <c r="J348" s="17" t="s">
        <v>1027</v>
      </c>
      <c r="K348" s="20"/>
    </row>
    <row r="349" ht="15.75" customHeight="1">
      <c r="A349" s="14" t="s">
        <v>97</v>
      </c>
      <c r="B349" s="15">
        <v>231.0</v>
      </c>
      <c r="C349" s="17" t="s">
        <v>1731</v>
      </c>
      <c r="D349" s="17" t="s">
        <v>1821</v>
      </c>
      <c r="E349" s="17" t="s">
        <v>386</v>
      </c>
      <c r="F349" s="16" t="s">
        <v>68</v>
      </c>
      <c r="G349" s="16" t="s">
        <v>371</v>
      </c>
      <c r="H349" s="17" t="s">
        <v>1822</v>
      </c>
      <c r="I349" s="16" t="s">
        <v>74</v>
      </c>
      <c r="J349" s="17" t="s">
        <v>1027</v>
      </c>
      <c r="K349" s="20"/>
    </row>
    <row r="350" ht="15.75" customHeight="1">
      <c r="A350" s="14" t="s">
        <v>97</v>
      </c>
      <c r="B350" s="15">
        <v>232.0</v>
      </c>
      <c r="C350" s="17" t="s">
        <v>1823</v>
      </c>
      <c r="D350" s="17" t="s">
        <v>1055</v>
      </c>
      <c r="E350" s="17" t="s">
        <v>392</v>
      </c>
      <c r="F350" s="16" t="s">
        <v>68</v>
      </c>
      <c r="G350" s="16" t="s">
        <v>371</v>
      </c>
      <c r="H350" s="17" t="s">
        <v>1822</v>
      </c>
      <c r="I350" s="16" t="s">
        <v>74</v>
      </c>
      <c r="J350" s="17" t="s">
        <v>1027</v>
      </c>
      <c r="K350" s="20"/>
    </row>
    <row r="351" ht="15.75" customHeight="1">
      <c r="A351" s="14" t="s">
        <v>97</v>
      </c>
      <c r="B351" s="15">
        <v>233.0</v>
      </c>
      <c r="C351" s="17" t="s">
        <v>1224</v>
      </c>
      <c r="D351" s="17" t="s">
        <v>1124</v>
      </c>
      <c r="E351" s="17" t="s">
        <v>1034</v>
      </c>
      <c r="F351" s="16" t="s">
        <v>181</v>
      </c>
      <c r="G351" s="16" t="s">
        <v>72</v>
      </c>
      <c r="H351" s="17" t="s">
        <v>1822</v>
      </c>
      <c r="I351" s="16" t="s">
        <v>74</v>
      </c>
      <c r="J351" s="17" t="s">
        <v>1027</v>
      </c>
      <c r="K351" s="20"/>
    </row>
    <row r="352" ht="15.75" customHeight="1">
      <c r="A352" s="14" t="s">
        <v>97</v>
      </c>
      <c r="B352" s="15">
        <v>234.0</v>
      </c>
      <c r="C352" s="17" t="s">
        <v>1226</v>
      </c>
      <c r="D352" s="17" t="s">
        <v>1439</v>
      </c>
      <c r="E352" s="17" t="s">
        <v>1037</v>
      </c>
      <c r="F352" s="16" t="s">
        <v>68</v>
      </c>
      <c r="G352" s="16" t="s">
        <v>72</v>
      </c>
      <c r="H352" s="17" t="s">
        <v>1822</v>
      </c>
      <c r="I352" s="16" t="s">
        <v>74</v>
      </c>
      <c r="J352" s="17" t="s">
        <v>1027</v>
      </c>
      <c r="K352" s="20"/>
    </row>
    <row r="353" ht="15.75" customHeight="1">
      <c r="A353" s="14" t="s">
        <v>97</v>
      </c>
      <c r="B353" s="15">
        <v>235.0</v>
      </c>
      <c r="C353" s="17" t="s">
        <v>1735</v>
      </c>
      <c r="D353" s="17" t="s">
        <v>1828</v>
      </c>
      <c r="E353" s="17" t="s">
        <v>386</v>
      </c>
      <c r="F353" s="16" t="s">
        <v>68</v>
      </c>
      <c r="G353" s="16" t="s">
        <v>371</v>
      </c>
      <c r="H353" s="17" t="s">
        <v>1829</v>
      </c>
      <c r="I353" s="16" t="s">
        <v>74</v>
      </c>
      <c r="J353" s="17" t="s">
        <v>1027</v>
      </c>
      <c r="K353" s="20"/>
    </row>
    <row r="354" ht="15.75" customHeight="1">
      <c r="A354" s="14" t="s">
        <v>97</v>
      </c>
      <c r="B354" s="15">
        <v>236.0</v>
      </c>
      <c r="C354" s="17" t="s">
        <v>1831</v>
      </c>
      <c r="D354" s="17" t="s">
        <v>1159</v>
      </c>
      <c r="E354" s="17" t="s">
        <v>392</v>
      </c>
      <c r="F354" s="16" t="s">
        <v>68</v>
      </c>
      <c r="G354" s="16" t="s">
        <v>371</v>
      </c>
      <c r="H354" s="17" t="s">
        <v>1829</v>
      </c>
      <c r="I354" s="16" t="s">
        <v>74</v>
      </c>
      <c r="J354" s="17" t="s">
        <v>1027</v>
      </c>
      <c r="K354" s="20"/>
    </row>
    <row r="355" ht="15.75" customHeight="1">
      <c r="A355" s="14" t="s">
        <v>97</v>
      </c>
      <c r="B355" s="15">
        <v>237.0</v>
      </c>
      <c r="C355" s="17" t="s">
        <v>1834</v>
      </c>
      <c r="D355" s="17" t="s">
        <v>1835</v>
      </c>
      <c r="E355" s="17" t="s">
        <v>1034</v>
      </c>
      <c r="F355" s="16" t="s">
        <v>181</v>
      </c>
      <c r="G355" s="16" t="s">
        <v>72</v>
      </c>
      <c r="H355" s="17" t="s">
        <v>1829</v>
      </c>
      <c r="I355" s="16" t="s">
        <v>74</v>
      </c>
      <c r="J355" s="17" t="s">
        <v>1027</v>
      </c>
      <c r="K355" s="20"/>
    </row>
    <row r="356" ht="15.75" customHeight="1">
      <c r="A356" s="14" t="s">
        <v>97</v>
      </c>
      <c r="B356" s="15">
        <v>238.0</v>
      </c>
      <c r="C356" s="17" t="s">
        <v>1228</v>
      </c>
      <c r="D356" s="17" t="s">
        <v>1138</v>
      </c>
      <c r="E356" s="17" t="s">
        <v>1037</v>
      </c>
      <c r="F356" s="16" t="s">
        <v>68</v>
      </c>
      <c r="G356" s="16" t="s">
        <v>72</v>
      </c>
      <c r="H356" s="17" t="s">
        <v>1829</v>
      </c>
      <c r="I356" s="16" t="s">
        <v>74</v>
      </c>
      <c r="J356" s="17" t="s">
        <v>1027</v>
      </c>
      <c r="K356" s="20"/>
    </row>
    <row r="357" ht="15.75" customHeight="1">
      <c r="A357" s="14" t="s">
        <v>97</v>
      </c>
      <c r="B357" s="15">
        <v>239.0</v>
      </c>
      <c r="C357" s="17" t="s">
        <v>1838</v>
      </c>
      <c r="D357" s="17" t="s">
        <v>1839</v>
      </c>
      <c r="E357" s="17" t="s">
        <v>386</v>
      </c>
      <c r="F357" s="16" t="s">
        <v>68</v>
      </c>
      <c r="G357" s="16" t="s">
        <v>371</v>
      </c>
      <c r="H357" s="17" t="s">
        <v>1841</v>
      </c>
      <c r="I357" s="16" t="s">
        <v>74</v>
      </c>
      <c r="J357" s="17" t="s">
        <v>1027</v>
      </c>
      <c r="K357" s="20"/>
    </row>
    <row r="358" ht="15.75" customHeight="1">
      <c r="A358" s="14" t="s">
        <v>97</v>
      </c>
      <c r="B358" s="15">
        <v>240.0</v>
      </c>
      <c r="C358" s="17" t="s">
        <v>1843</v>
      </c>
      <c r="D358" s="17" t="s">
        <v>1733</v>
      </c>
      <c r="E358" s="17" t="s">
        <v>392</v>
      </c>
      <c r="F358" s="16" t="s">
        <v>68</v>
      </c>
      <c r="G358" s="16" t="s">
        <v>371</v>
      </c>
      <c r="H358" s="17" t="s">
        <v>1841</v>
      </c>
      <c r="I358" s="16" t="s">
        <v>74</v>
      </c>
      <c r="J358" s="17" t="s">
        <v>1027</v>
      </c>
      <c r="K358" s="20"/>
    </row>
    <row r="359" ht="15.75" customHeight="1">
      <c r="A359" s="14" t="s">
        <v>97</v>
      </c>
      <c r="B359" s="15">
        <v>241.0</v>
      </c>
      <c r="C359" s="17" t="s">
        <v>1846</v>
      </c>
      <c r="D359" s="17" t="s">
        <v>1214</v>
      </c>
      <c r="E359" s="17" t="s">
        <v>1034</v>
      </c>
      <c r="F359" s="16" t="s">
        <v>181</v>
      </c>
      <c r="G359" s="16" t="s">
        <v>72</v>
      </c>
      <c r="H359" s="17" t="s">
        <v>1841</v>
      </c>
      <c r="I359" s="16" t="s">
        <v>74</v>
      </c>
      <c r="J359" s="17" t="s">
        <v>1027</v>
      </c>
      <c r="K359" s="20"/>
    </row>
    <row r="360" ht="15.75" customHeight="1">
      <c r="A360" s="14" t="s">
        <v>97</v>
      </c>
      <c r="B360" s="15">
        <v>242.0</v>
      </c>
      <c r="C360" s="17" t="s">
        <v>1738</v>
      </c>
      <c r="D360" s="17" t="s">
        <v>1849</v>
      </c>
      <c r="E360" s="17" t="s">
        <v>386</v>
      </c>
      <c r="F360" s="16" t="s">
        <v>68</v>
      </c>
      <c r="G360" s="16" t="s">
        <v>371</v>
      </c>
      <c r="H360" s="17" t="s">
        <v>1851</v>
      </c>
      <c r="I360" s="16" t="s">
        <v>74</v>
      </c>
      <c r="J360" s="17" t="s">
        <v>1027</v>
      </c>
      <c r="K360" s="20"/>
    </row>
    <row r="361" ht="15.75" customHeight="1">
      <c r="A361" s="14" t="s">
        <v>97</v>
      </c>
      <c r="B361" s="15">
        <v>243.0</v>
      </c>
      <c r="C361" s="17" t="s">
        <v>1852</v>
      </c>
      <c r="D361" s="17" t="s">
        <v>1747</v>
      </c>
      <c r="E361" s="17" t="s">
        <v>392</v>
      </c>
      <c r="F361" s="16" t="s">
        <v>68</v>
      </c>
      <c r="G361" s="16" t="s">
        <v>371</v>
      </c>
      <c r="H361" s="17" t="s">
        <v>1851</v>
      </c>
      <c r="I361" s="16" t="s">
        <v>74</v>
      </c>
      <c r="J361" s="17" t="s">
        <v>1027</v>
      </c>
      <c r="K361" s="20"/>
    </row>
    <row r="362" ht="15.75" customHeight="1">
      <c r="A362" s="14" t="s">
        <v>97</v>
      </c>
      <c r="B362" s="15">
        <v>244.0</v>
      </c>
      <c r="C362" s="17" t="s">
        <v>1855</v>
      </c>
      <c r="D362" s="17" t="s">
        <v>1214</v>
      </c>
      <c r="E362" s="17" t="s">
        <v>1034</v>
      </c>
      <c r="F362" s="16" t="s">
        <v>181</v>
      </c>
      <c r="G362" s="16" t="s">
        <v>72</v>
      </c>
      <c r="H362" s="17" t="s">
        <v>1851</v>
      </c>
      <c r="I362" s="16" t="s">
        <v>74</v>
      </c>
      <c r="J362" s="17" t="s">
        <v>1027</v>
      </c>
      <c r="K362" s="20"/>
    </row>
    <row r="363" ht="15.75" customHeight="1">
      <c r="A363" s="14" t="s">
        <v>97</v>
      </c>
      <c r="B363" s="15">
        <v>245.0</v>
      </c>
      <c r="C363" s="17" t="s">
        <v>1741</v>
      </c>
      <c r="D363" s="17" t="s">
        <v>1859</v>
      </c>
      <c r="E363" s="17" t="s">
        <v>386</v>
      </c>
      <c r="F363" s="16" t="s">
        <v>68</v>
      </c>
      <c r="G363" s="16" t="s">
        <v>371</v>
      </c>
      <c r="H363" s="17" t="s">
        <v>1860</v>
      </c>
      <c r="I363" s="16" t="s">
        <v>74</v>
      </c>
      <c r="J363" s="17" t="s">
        <v>1027</v>
      </c>
      <c r="K363" s="20"/>
    </row>
    <row r="364" ht="15.75" customHeight="1">
      <c r="A364" s="14" t="s">
        <v>97</v>
      </c>
      <c r="B364" s="15">
        <v>246.0</v>
      </c>
      <c r="C364" s="17" t="s">
        <v>1861</v>
      </c>
      <c r="D364" s="17" t="s">
        <v>1747</v>
      </c>
      <c r="E364" s="17" t="s">
        <v>392</v>
      </c>
      <c r="F364" s="16" t="s">
        <v>68</v>
      </c>
      <c r="G364" s="16" t="s">
        <v>371</v>
      </c>
      <c r="H364" s="17" t="s">
        <v>1860</v>
      </c>
      <c r="I364" s="16" t="s">
        <v>74</v>
      </c>
      <c r="J364" s="17" t="s">
        <v>1027</v>
      </c>
      <c r="K364" s="20"/>
    </row>
    <row r="365" ht="15.75" customHeight="1">
      <c r="A365" s="14" t="s">
        <v>97</v>
      </c>
      <c r="B365" s="15">
        <v>247.0</v>
      </c>
      <c r="C365" s="17" t="s">
        <v>1862</v>
      </c>
      <c r="D365" s="17" t="s">
        <v>1214</v>
      </c>
      <c r="E365" s="17" t="s">
        <v>1034</v>
      </c>
      <c r="F365" s="16" t="s">
        <v>181</v>
      </c>
      <c r="G365" s="16" t="s">
        <v>72</v>
      </c>
      <c r="H365" s="17" t="s">
        <v>1860</v>
      </c>
      <c r="I365" s="16" t="s">
        <v>74</v>
      </c>
      <c r="J365" s="17" t="s">
        <v>1027</v>
      </c>
      <c r="K365" s="20"/>
    </row>
    <row r="366" ht="15.75" customHeight="1">
      <c r="A366" s="14" t="s">
        <v>97</v>
      </c>
      <c r="B366" s="15">
        <v>248.0</v>
      </c>
      <c r="C366" s="17" t="s">
        <v>1863</v>
      </c>
      <c r="D366" s="17" t="s">
        <v>1864</v>
      </c>
      <c r="E366" s="17" t="s">
        <v>386</v>
      </c>
      <c r="F366" s="16" t="s">
        <v>68</v>
      </c>
      <c r="G366" s="16" t="s">
        <v>371</v>
      </c>
      <c r="H366" s="17" t="s">
        <v>1865</v>
      </c>
      <c r="I366" s="16" t="s">
        <v>74</v>
      </c>
      <c r="J366" s="17" t="s">
        <v>1027</v>
      </c>
      <c r="K366" s="20"/>
    </row>
    <row r="367" ht="15.75" customHeight="1">
      <c r="A367" s="14" t="s">
        <v>97</v>
      </c>
      <c r="B367" s="15">
        <v>249.0</v>
      </c>
      <c r="C367" s="17" t="s">
        <v>1866</v>
      </c>
      <c r="D367" s="17" t="s">
        <v>1222</v>
      </c>
      <c r="E367" s="17" t="s">
        <v>392</v>
      </c>
      <c r="F367" s="16" t="s">
        <v>68</v>
      </c>
      <c r="G367" s="16" t="s">
        <v>371</v>
      </c>
      <c r="H367" s="17" t="s">
        <v>1865</v>
      </c>
      <c r="I367" s="16" t="s">
        <v>74</v>
      </c>
      <c r="J367" s="17" t="s">
        <v>1027</v>
      </c>
      <c r="K367" s="20"/>
    </row>
    <row r="368" ht="15.75" customHeight="1">
      <c r="A368" s="14" t="s">
        <v>97</v>
      </c>
      <c r="B368" s="15">
        <v>250.0</v>
      </c>
      <c r="C368" s="17" t="s">
        <v>1867</v>
      </c>
      <c r="D368" s="17" t="s">
        <v>1214</v>
      </c>
      <c r="E368" s="17" t="s">
        <v>1034</v>
      </c>
      <c r="F368" s="16" t="s">
        <v>181</v>
      </c>
      <c r="G368" s="16" t="s">
        <v>72</v>
      </c>
      <c r="H368" s="17" t="s">
        <v>1865</v>
      </c>
      <c r="I368" s="16" t="s">
        <v>74</v>
      </c>
      <c r="J368" s="17" t="s">
        <v>1027</v>
      </c>
      <c r="K368" s="20"/>
    </row>
    <row r="369" ht="15.75" customHeight="1">
      <c r="A369" s="14" t="s">
        <v>97</v>
      </c>
      <c r="B369" s="15">
        <v>251.0</v>
      </c>
      <c r="C369" s="17" t="s">
        <v>630</v>
      </c>
      <c r="D369" s="17" t="s">
        <v>1869</v>
      </c>
      <c r="E369" s="17" t="s">
        <v>441</v>
      </c>
      <c r="F369" s="16" t="s">
        <v>68</v>
      </c>
      <c r="G369" s="16" t="s">
        <v>371</v>
      </c>
      <c r="H369" s="17" t="s">
        <v>1870</v>
      </c>
      <c r="I369" s="16" t="s">
        <v>74</v>
      </c>
      <c r="J369" s="17" t="s">
        <v>1230</v>
      </c>
      <c r="K369" s="20"/>
    </row>
    <row r="370" ht="15.75" customHeight="1">
      <c r="A370" s="14" t="s">
        <v>97</v>
      </c>
      <c r="B370" s="15">
        <v>252.0</v>
      </c>
      <c r="C370" s="17" t="s">
        <v>635</v>
      </c>
      <c r="D370" s="17" t="s">
        <v>1872</v>
      </c>
      <c r="E370" s="17" t="s">
        <v>441</v>
      </c>
      <c r="F370" s="16" t="s">
        <v>68</v>
      </c>
      <c r="G370" s="16" t="s">
        <v>371</v>
      </c>
      <c r="H370" s="17" t="s">
        <v>1873</v>
      </c>
      <c r="I370" s="16" t="s">
        <v>74</v>
      </c>
      <c r="J370" s="17" t="s">
        <v>1230</v>
      </c>
      <c r="K370" s="20"/>
    </row>
    <row r="371" ht="15.75" customHeight="1">
      <c r="A371" s="14" t="s">
        <v>97</v>
      </c>
      <c r="B371" s="15">
        <v>253.0</v>
      </c>
      <c r="C371" s="17" t="s">
        <v>641</v>
      </c>
      <c r="D371" s="17" t="s">
        <v>1874</v>
      </c>
      <c r="E371" s="17" t="s">
        <v>441</v>
      </c>
      <c r="F371" s="16" t="s">
        <v>68</v>
      </c>
      <c r="G371" s="16" t="s">
        <v>371</v>
      </c>
      <c r="H371" s="17" t="s">
        <v>1875</v>
      </c>
      <c r="I371" s="16" t="s">
        <v>74</v>
      </c>
      <c r="J371" s="17" t="s">
        <v>1230</v>
      </c>
      <c r="K371" s="20"/>
    </row>
    <row r="372" ht="15.75" customHeight="1">
      <c r="A372" s="14" t="s">
        <v>97</v>
      </c>
      <c r="B372" s="15">
        <v>254.0</v>
      </c>
      <c r="C372" s="17" t="s">
        <v>1876</v>
      </c>
      <c r="D372" s="17" t="s">
        <v>1877</v>
      </c>
      <c r="E372" s="17" t="s">
        <v>441</v>
      </c>
      <c r="F372" s="16" t="s">
        <v>68</v>
      </c>
      <c r="G372" s="16" t="s">
        <v>371</v>
      </c>
      <c r="H372" s="17" t="s">
        <v>1878</v>
      </c>
      <c r="I372" s="16" t="s">
        <v>74</v>
      </c>
      <c r="J372" s="17" t="s">
        <v>1230</v>
      </c>
      <c r="K372" s="20"/>
    </row>
    <row r="373" ht="15.75" customHeight="1">
      <c r="A373" s="14" t="s">
        <v>97</v>
      </c>
      <c r="B373" s="15">
        <v>255.0</v>
      </c>
      <c r="C373" s="17" t="s">
        <v>396</v>
      </c>
      <c r="D373" s="17" t="s">
        <v>1879</v>
      </c>
      <c r="E373" s="17" t="s">
        <v>369</v>
      </c>
      <c r="F373" s="16" t="s">
        <v>68</v>
      </c>
      <c r="G373" s="16" t="s">
        <v>371</v>
      </c>
      <c r="H373" s="17" t="s">
        <v>949</v>
      </c>
      <c r="I373" s="16" t="s">
        <v>74</v>
      </c>
      <c r="J373" s="17" t="s">
        <v>1880</v>
      </c>
      <c r="K373" s="20"/>
    </row>
    <row r="374" ht="15.75" customHeight="1">
      <c r="A374" s="14" t="s">
        <v>97</v>
      </c>
      <c r="B374" s="15">
        <v>256.0</v>
      </c>
      <c r="C374" s="17" t="s">
        <v>1285</v>
      </c>
      <c r="D374" s="17" t="s">
        <v>1881</v>
      </c>
      <c r="E374" s="17" t="s">
        <v>956</v>
      </c>
      <c r="F374" s="16" t="s">
        <v>68</v>
      </c>
      <c r="G374" s="16" t="s">
        <v>864</v>
      </c>
      <c r="H374" s="17" t="s">
        <v>959</v>
      </c>
      <c r="I374" s="16" t="s">
        <v>74</v>
      </c>
      <c r="J374" s="17" t="s">
        <v>1880</v>
      </c>
      <c r="K374" s="20"/>
    </row>
    <row r="375" ht="15.75" customHeight="1">
      <c r="A375" s="14" t="s">
        <v>97</v>
      </c>
      <c r="B375" s="15">
        <v>257.0</v>
      </c>
      <c r="C375" s="17" t="s">
        <v>1492</v>
      </c>
      <c r="D375" s="17" t="s">
        <v>1882</v>
      </c>
      <c r="E375" s="17" t="s">
        <v>967</v>
      </c>
      <c r="F375" s="16" t="s">
        <v>68</v>
      </c>
      <c r="G375" s="16" t="s">
        <v>970</v>
      </c>
      <c r="H375" s="17" t="s">
        <v>972</v>
      </c>
      <c r="I375" s="16" t="s">
        <v>74</v>
      </c>
      <c r="J375" s="17" t="s">
        <v>1880</v>
      </c>
      <c r="K375" s="20"/>
    </row>
    <row r="376" ht="15.75" customHeight="1">
      <c r="A376" s="14" t="s">
        <v>97</v>
      </c>
      <c r="B376" s="15">
        <v>258.0</v>
      </c>
      <c r="C376" s="17" t="s">
        <v>1883</v>
      </c>
      <c r="D376" s="17" t="s">
        <v>1884</v>
      </c>
      <c r="E376" s="17" t="s">
        <v>979</v>
      </c>
      <c r="F376" s="16" t="s">
        <v>68</v>
      </c>
      <c r="G376" s="16" t="s">
        <v>864</v>
      </c>
      <c r="H376" s="17" t="s">
        <v>983</v>
      </c>
      <c r="I376" s="16" t="s">
        <v>74</v>
      </c>
      <c r="J376" s="17" t="s">
        <v>1880</v>
      </c>
      <c r="K376" s="20"/>
    </row>
    <row r="377" ht="15.75" customHeight="1">
      <c r="A377" s="14" t="s">
        <v>97</v>
      </c>
      <c r="B377" s="15">
        <v>259.0</v>
      </c>
      <c r="C377" s="17" t="s">
        <v>1885</v>
      </c>
      <c r="D377" s="17" t="s">
        <v>930</v>
      </c>
      <c r="E377" s="17" t="s">
        <v>990</v>
      </c>
      <c r="F377" s="16" t="s">
        <v>357</v>
      </c>
      <c r="G377" s="16" t="s">
        <v>864</v>
      </c>
      <c r="H377" s="17" t="s">
        <v>992</v>
      </c>
      <c r="I377" s="16" t="s">
        <v>74</v>
      </c>
      <c r="J377" s="17" t="s">
        <v>1880</v>
      </c>
      <c r="K377" s="20"/>
    </row>
    <row r="378" ht="15.75" customHeight="1">
      <c r="A378" s="14" t="s">
        <v>97</v>
      </c>
      <c r="B378" s="15">
        <v>260.0</v>
      </c>
      <c r="C378" s="17" t="s">
        <v>1886</v>
      </c>
      <c r="D378" s="17" t="s">
        <v>75</v>
      </c>
      <c r="E378" s="17" t="s">
        <v>1001</v>
      </c>
      <c r="F378" s="16" t="s">
        <v>357</v>
      </c>
      <c r="G378" s="16" t="s">
        <v>864</v>
      </c>
      <c r="H378" s="17" t="s">
        <v>992</v>
      </c>
      <c r="I378" s="16" t="s">
        <v>74</v>
      </c>
      <c r="J378" s="17" t="s">
        <v>1880</v>
      </c>
      <c r="K378" s="20"/>
    </row>
    <row r="379" ht="15.75" customHeight="1">
      <c r="A379" s="14" t="s">
        <v>97</v>
      </c>
      <c r="B379" s="15">
        <v>261.0</v>
      </c>
      <c r="C379" s="17" t="s">
        <v>1295</v>
      </c>
      <c r="D379" s="17" t="s">
        <v>1628</v>
      </c>
      <c r="E379" s="17" t="s">
        <v>1012</v>
      </c>
      <c r="F379" s="16" t="s">
        <v>68</v>
      </c>
      <c r="G379" s="16" t="s">
        <v>72</v>
      </c>
      <c r="H379" s="17" t="s">
        <v>1014</v>
      </c>
      <c r="I379" s="16" t="s">
        <v>74</v>
      </c>
      <c r="J379" s="17" t="s">
        <v>1880</v>
      </c>
      <c r="K379" s="20"/>
    </row>
    <row r="380" ht="15.75" customHeight="1">
      <c r="A380" s="14" t="s">
        <v>97</v>
      </c>
      <c r="B380" s="15">
        <v>262.0</v>
      </c>
      <c r="C380" s="17" t="s">
        <v>1887</v>
      </c>
      <c r="D380" s="17" t="s">
        <v>1888</v>
      </c>
      <c r="E380" s="17" t="s">
        <v>441</v>
      </c>
      <c r="F380" s="16" t="s">
        <v>68</v>
      </c>
      <c r="G380" s="16" t="s">
        <v>371</v>
      </c>
      <c r="H380" s="17" t="s">
        <v>1022</v>
      </c>
      <c r="I380" s="16" t="s">
        <v>74</v>
      </c>
      <c r="J380" s="17" t="s">
        <v>1880</v>
      </c>
      <c r="K380" s="20"/>
    </row>
    <row r="381" ht="15.75" customHeight="1">
      <c r="A381" s="14" t="s">
        <v>97</v>
      </c>
      <c r="B381" s="15">
        <v>263.0</v>
      </c>
      <c r="C381" s="17" t="s">
        <v>908</v>
      </c>
      <c r="D381" s="17" t="s">
        <v>1889</v>
      </c>
      <c r="E381" s="17" t="s">
        <v>386</v>
      </c>
      <c r="F381" s="16" t="s">
        <v>68</v>
      </c>
      <c r="G381" s="16" t="s">
        <v>371</v>
      </c>
      <c r="H381" s="17" t="s">
        <v>1890</v>
      </c>
      <c r="I381" s="16" t="s">
        <v>74</v>
      </c>
      <c r="J381" s="17" t="s">
        <v>1027</v>
      </c>
      <c r="K381" s="20"/>
    </row>
    <row r="382" ht="15.75" customHeight="1">
      <c r="A382" s="14" t="s">
        <v>97</v>
      </c>
      <c r="B382" s="15">
        <v>264.0</v>
      </c>
      <c r="C382" s="17" t="s">
        <v>1241</v>
      </c>
      <c r="D382" s="17" t="s">
        <v>1811</v>
      </c>
      <c r="E382" s="17" t="s">
        <v>392</v>
      </c>
      <c r="F382" s="16" t="s">
        <v>68</v>
      </c>
      <c r="G382" s="16" t="s">
        <v>371</v>
      </c>
      <c r="H382" s="17" t="s">
        <v>1890</v>
      </c>
      <c r="I382" s="16" t="s">
        <v>74</v>
      </c>
      <c r="J382" s="17" t="s">
        <v>1027</v>
      </c>
      <c r="K382" s="20"/>
    </row>
    <row r="383" ht="15.75" customHeight="1">
      <c r="A383" s="14" t="s">
        <v>97</v>
      </c>
      <c r="B383" s="15">
        <v>265.0</v>
      </c>
      <c r="C383" s="17" t="s">
        <v>1237</v>
      </c>
      <c r="D383" s="17" t="s">
        <v>1891</v>
      </c>
      <c r="E383" s="17" t="s">
        <v>1034</v>
      </c>
      <c r="F383" s="16" t="s">
        <v>181</v>
      </c>
      <c r="G383" s="16" t="s">
        <v>72</v>
      </c>
      <c r="H383" s="17" t="s">
        <v>1890</v>
      </c>
      <c r="I383" s="16" t="s">
        <v>74</v>
      </c>
      <c r="J383" s="17" t="s">
        <v>1027</v>
      </c>
      <c r="K383" s="20"/>
    </row>
    <row r="384" ht="15.75" customHeight="1">
      <c r="A384" s="14" t="s">
        <v>97</v>
      </c>
      <c r="B384" s="15">
        <v>266.0</v>
      </c>
      <c r="C384" s="17" t="s">
        <v>1238</v>
      </c>
      <c r="D384" s="17" t="s">
        <v>1892</v>
      </c>
      <c r="E384" s="17" t="s">
        <v>1037</v>
      </c>
      <c r="F384" s="16" t="s">
        <v>68</v>
      </c>
      <c r="G384" s="16" t="s">
        <v>72</v>
      </c>
      <c r="H384" s="17" t="s">
        <v>1890</v>
      </c>
      <c r="I384" s="16" t="s">
        <v>74</v>
      </c>
      <c r="J384" s="17" t="s">
        <v>1027</v>
      </c>
      <c r="K384" s="20"/>
    </row>
    <row r="385" ht="15.75" customHeight="1">
      <c r="A385" s="14" t="s">
        <v>97</v>
      </c>
      <c r="B385" s="15">
        <v>267.0</v>
      </c>
      <c r="C385" s="17" t="s">
        <v>913</v>
      </c>
      <c r="D385" s="17" t="s">
        <v>1893</v>
      </c>
      <c r="E385" s="17" t="s">
        <v>386</v>
      </c>
      <c r="F385" s="16" t="s">
        <v>68</v>
      </c>
      <c r="G385" s="16" t="s">
        <v>371</v>
      </c>
      <c r="H385" s="17" t="s">
        <v>1894</v>
      </c>
      <c r="I385" s="16" t="s">
        <v>74</v>
      </c>
      <c r="J385" s="17" t="s">
        <v>1027</v>
      </c>
      <c r="K385" s="20"/>
    </row>
    <row r="386" ht="15.75" customHeight="1">
      <c r="A386" s="14" t="s">
        <v>97</v>
      </c>
      <c r="B386" s="15">
        <v>268.0</v>
      </c>
      <c r="C386" s="17" t="s">
        <v>1248</v>
      </c>
      <c r="D386" s="17" t="s">
        <v>1895</v>
      </c>
      <c r="E386" s="17" t="s">
        <v>392</v>
      </c>
      <c r="F386" s="16" t="s">
        <v>68</v>
      </c>
      <c r="G386" s="16" t="s">
        <v>371</v>
      </c>
      <c r="H386" s="17" t="s">
        <v>1894</v>
      </c>
      <c r="I386" s="16" t="s">
        <v>74</v>
      </c>
      <c r="J386" s="17" t="s">
        <v>1027</v>
      </c>
      <c r="K386" s="20"/>
    </row>
    <row r="387" ht="15.75" customHeight="1">
      <c r="A387" s="14" t="s">
        <v>97</v>
      </c>
      <c r="B387" s="15">
        <v>269.0</v>
      </c>
      <c r="C387" s="17" t="s">
        <v>1243</v>
      </c>
      <c r="D387" s="17" t="s">
        <v>1812</v>
      </c>
      <c r="E387" s="17" t="s">
        <v>1034</v>
      </c>
      <c r="F387" s="16" t="s">
        <v>181</v>
      </c>
      <c r="G387" s="16" t="s">
        <v>72</v>
      </c>
      <c r="H387" s="17" t="s">
        <v>1894</v>
      </c>
      <c r="I387" s="16" t="s">
        <v>74</v>
      </c>
      <c r="J387" s="17" t="s">
        <v>1027</v>
      </c>
      <c r="K387" s="20"/>
    </row>
    <row r="388" ht="15.75" customHeight="1">
      <c r="A388" s="14" t="s">
        <v>97</v>
      </c>
      <c r="B388" s="15">
        <v>270.0</v>
      </c>
      <c r="C388" s="17" t="s">
        <v>1245</v>
      </c>
      <c r="D388" s="17" t="s">
        <v>1896</v>
      </c>
      <c r="E388" s="17" t="s">
        <v>1037</v>
      </c>
      <c r="F388" s="16" t="s">
        <v>68</v>
      </c>
      <c r="G388" s="16" t="s">
        <v>72</v>
      </c>
      <c r="H388" s="17" t="s">
        <v>1894</v>
      </c>
      <c r="I388" s="16" t="s">
        <v>74</v>
      </c>
      <c r="J388" s="17" t="s">
        <v>1027</v>
      </c>
      <c r="K388" s="20"/>
    </row>
    <row r="389" ht="15.75" customHeight="1">
      <c r="A389" s="14" t="s">
        <v>97</v>
      </c>
      <c r="B389" s="15">
        <v>271.0</v>
      </c>
      <c r="C389" s="17" t="s">
        <v>1748</v>
      </c>
      <c r="D389" s="17" t="s">
        <v>1897</v>
      </c>
      <c r="E389" s="17" t="s">
        <v>386</v>
      </c>
      <c r="F389" s="16" t="s">
        <v>68</v>
      </c>
      <c r="G389" s="16" t="s">
        <v>371</v>
      </c>
      <c r="H389" s="17" t="s">
        <v>1898</v>
      </c>
      <c r="I389" s="16" t="s">
        <v>74</v>
      </c>
      <c r="J389" s="17" t="s">
        <v>1027</v>
      </c>
      <c r="K389" s="20"/>
    </row>
    <row r="390" ht="15.75" customHeight="1">
      <c r="A390" s="14" t="s">
        <v>97</v>
      </c>
      <c r="B390" s="15">
        <v>272.0</v>
      </c>
      <c r="C390" s="17" t="s">
        <v>1262</v>
      </c>
      <c r="D390" s="17" t="s">
        <v>1695</v>
      </c>
      <c r="E390" s="17" t="s">
        <v>392</v>
      </c>
      <c r="F390" s="16" t="s">
        <v>68</v>
      </c>
      <c r="G390" s="16" t="s">
        <v>371</v>
      </c>
      <c r="H390" s="17" t="s">
        <v>1898</v>
      </c>
      <c r="I390" s="16" t="s">
        <v>74</v>
      </c>
      <c r="J390" s="17" t="s">
        <v>1027</v>
      </c>
      <c r="K390" s="20"/>
    </row>
    <row r="391" ht="15.75" customHeight="1">
      <c r="A391" s="14" t="s">
        <v>97</v>
      </c>
      <c r="B391" s="15">
        <v>273.0</v>
      </c>
      <c r="C391" s="17" t="s">
        <v>1249</v>
      </c>
      <c r="D391" s="17" t="s">
        <v>1812</v>
      </c>
      <c r="E391" s="17" t="s">
        <v>1034</v>
      </c>
      <c r="F391" s="16" t="s">
        <v>181</v>
      </c>
      <c r="G391" s="16" t="s">
        <v>72</v>
      </c>
      <c r="H391" s="17" t="s">
        <v>1898</v>
      </c>
      <c r="I391" s="16" t="s">
        <v>74</v>
      </c>
      <c r="J391" s="17" t="s">
        <v>1027</v>
      </c>
      <c r="K391" s="20"/>
    </row>
    <row r="392" ht="15.75" customHeight="1">
      <c r="A392" s="14" t="s">
        <v>97</v>
      </c>
      <c r="B392" s="15">
        <v>274.0</v>
      </c>
      <c r="C392" s="17" t="s">
        <v>1254</v>
      </c>
      <c r="D392" s="17" t="s">
        <v>1896</v>
      </c>
      <c r="E392" s="17" t="s">
        <v>1037</v>
      </c>
      <c r="F392" s="16" t="s">
        <v>68</v>
      </c>
      <c r="G392" s="16" t="s">
        <v>72</v>
      </c>
      <c r="H392" s="17" t="s">
        <v>1898</v>
      </c>
      <c r="I392" s="16" t="s">
        <v>74</v>
      </c>
      <c r="J392" s="17" t="s">
        <v>1027</v>
      </c>
      <c r="K392" s="20"/>
    </row>
    <row r="393" ht="15.75" customHeight="1">
      <c r="A393" s="14" t="s">
        <v>97</v>
      </c>
      <c r="B393" s="15">
        <v>275.0</v>
      </c>
      <c r="C393" s="17" t="s">
        <v>1750</v>
      </c>
      <c r="D393" s="17" t="s">
        <v>1901</v>
      </c>
      <c r="E393" s="17" t="s">
        <v>386</v>
      </c>
      <c r="F393" s="16" t="s">
        <v>68</v>
      </c>
      <c r="G393" s="16" t="s">
        <v>371</v>
      </c>
      <c r="H393" s="17" t="s">
        <v>1903</v>
      </c>
      <c r="I393" s="16" t="s">
        <v>74</v>
      </c>
      <c r="J393" s="17" t="s">
        <v>1027</v>
      </c>
      <c r="K393" s="20"/>
    </row>
    <row r="394" ht="15.75" customHeight="1">
      <c r="A394" s="14" t="s">
        <v>97</v>
      </c>
      <c r="B394" s="15">
        <v>276.0</v>
      </c>
      <c r="C394" s="17" t="s">
        <v>1269</v>
      </c>
      <c r="D394" s="17" t="s">
        <v>1905</v>
      </c>
      <c r="E394" s="17" t="s">
        <v>392</v>
      </c>
      <c r="F394" s="16" t="s">
        <v>68</v>
      </c>
      <c r="G394" s="16" t="s">
        <v>371</v>
      </c>
      <c r="H394" s="17" t="s">
        <v>1903</v>
      </c>
      <c r="I394" s="16" t="s">
        <v>74</v>
      </c>
      <c r="J394" s="17" t="s">
        <v>1027</v>
      </c>
      <c r="K394" s="20"/>
    </row>
    <row r="395" ht="15.75" customHeight="1">
      <c r="A395" s="14" t="s">
        <v>97</v>
      </c>
      <c r="B395" s="15">
        <v>277.0</v>
      </c>
      <c r="C395" s="17" t="s">
        <v>1906</v>
      </c>
      <c r="D395" s="17" t="s">
        <v>1044</v>
      </c>
      <c r="E395" s="17" t="s">
        <v>1034</v>
      </c>
      <c r="F395" s="16" t="s">
        <v>181</v>
      </c>
      <c r="G395" s="16" t="s">
        <v>72</v>
      </c>
      <c r="H395" s="17" t="s">
        <v>1903</v>
      </c>
      <c r="I395" s="16" t="s">
        <v>74</v>
      </c>
      <c r="J395" s="17" t="s">
        <v>1027</v>
      </c>
      <c r="K395" s="20"/>
    </row>
    <row r="396" ht="15.75" customHeight="1">
      <c r="A396" s="14" t="s">
        <v>97</v>
      </c>
      <c r="B396" s="15">
        <v>278.0</v>
      </c>
      <c r="C396" s="17" t="s">
        <v>1265</v>
      </c>
      <c r="D396" s="17" t="s">
        <v>1908</v>
      </c>
      <c r="E396" s="17" t="s">
        <v>1037</v>
      </c>
      <c r="F396" s="16" t="s">
        <v>68</v>
      </c>
      <c r="G396" s="16" t="s">
        <v>72</v>
      </c>
      <c r="H396" s="17" t="s">
        <v>1903</v>
      </c>
      <c r="I396" s="16" t="s">
        <v>74</v>
      </c>
      <c r="J396" s="17" t="s">
        <v>1027</v>
      </c>
      <c r="K396" s="20"/>
    </row>
    <row r="397" ht="15.75" customHeight="1">
      <c r="A397" s="14" t="s">
        <v>97</v>
      </c>
      <c r="B397" s="15">
        <v>279.0</v>
      </c>
      <c r="C397" s="17" t="s">
        <v>1751</v>
      </c>
      <c r="D397" s="17" t="s">
        <v>1910</v>
      </c>
      <c r="E397" s="17" t="s">
        <v>386</v>
      </c>
      <c r="F397" s="16" t="s">
        <v>68</v>
      </c>
      <c r="G397" s="16" t="s">
        <v>371</v>
      </c>
      <c r="H397" s="17" t="s">
        <v>1911</v>
      </c>
      <c r="I397" s="16" t="s">
        <v>74</v>
      </c>
      <c r="J397" s="17" t="s">
        <v>1027</v>
      </c>
      <c r="K397" s="20"/>
    </row>
    <row r="398" ht="15.75" customHeight="1">
      <c r="A398" s="14" t="s">
        <v>97</v>
      </c>
      <c r="B398" s="15">
        <v>280.0</v>
      </c>
      <c r="C398" s="17" t="s">
        <v>1279</v>
      </c>
      <c r="D398" s="17" t="s">
        <v>1912</v>
      </c>
      <c r="E398" s="17" t="s">
        <v>392</v>
      </c>
      <c r="F398" s="16" t="s">
        <v>68</v>
      </c>
      <c r="G398" s="16" t="s">
        <v>371</v>
      </c>
      <c r="H398" s="17" t="s">
        <v>1911</v>
      </c>
      <c r="I398" s="16" t="s">
        <v>74</v>
      </c>
      <c r="J398" s="17" t="s">
        <v>1027</v>
      </c>
      <c r="K398" s="20"/>
    </row>
    <row r="399" ht="15.75" customHeight="1">
      <c r="A399" s="14" t="s">
        <v>97</v>
      </c>
      <c r="B399" s="15">
        <v>281.0</v>
      </c>
      <c r="C399" s="17" t="s">
        <v>1915</v>
      </c>
      <c r="D399" s="17" t="s">
        <v>1044</v>
      </c>
      <c r="E399" s="17" t="s">
        <v>1034</v>
      </c>
      <c r="F399" s="16" t="s">
        <v>181</v>
      </c>
      <c r="G399" s="16" t="s">
        <v>72</v>
      </c>
      <c r="H399" s="17" t="s">
        <v>1911</v>
      </c>
      <c r="I399" s="16" t="s">
        <v>74</v>
      </c>
      <c r="J399" s="17" t="s">
        <v>1027</v>
      </c>
      <c r="K399" s="20"/>
    </row>
    <row r="400" ht="15.75" customHeight="1">
      <c r="A400" s="14" t="s">
        <v>97</v>
      </c>
      <c r="B400" s="15">
        <v>282.0</v>
      </c>
      <c r="C400" s="17" t="s">
        <v>1274</v>
      </c>
      <c r="D400" s="17" t="s">
        <v>1908</v>
      </c>
      <c r="E400" s="17" t="s">
        <v>1037</v>
      </c>
      <c r="F400" s="16" t="s">
        <v>68</v>
      </c>
      <c r="G400" s="16" t="s">
        <v>72</v>
      </c>
      <c r="H400" s="17" t="s">
        <v>1911</v>
      </c>
      <c r="I400" s="16" t="s">
        <v>74</v>
      </c>
      <c r="J400" s="17" t="s">
        <v>1027</v>
      </c>
      <c r="K400" s="20"/>
    </row>
    <row r="401" ht="15.75" customHeight="1">
      <c r="A401" s="14" t="s">
        <v>97</v>
      </c>
      <c r="B401" s="15">
        <v>283.0</v>
      </c>
      <c r="C401" s="17" t="s">
        <v>1755</v>
      </c>
      <c r="D401" s="17" t="s">
        <v>1917</v>
      </c>
      <c r="E401" s="17" t="s">
        <v>386</v>
      </c>
      <c r="F401" s="16" t="s">
        <v>68</v>
      </c>
      <c r="G401" s="16" t="s">
        <v>371</v>
      </c>
      <c r="H401" s="17" t="s">
        <v>1918</v>
      </c>
      <c r="I401" s="16" t="s">
        <v>74</v>
      </c>
      <c r="J401" s="17" t="s">
        <v>1027</v>
      </c>
      <c r="K401" s="20"/>
    </row>
    <row r="402" ht="15.75" customHeight="1">
      <c r="A402" s="14" t="s">
        <v>97</v>
      </c>
      <c r="B402" s="15">
        <v>284.0</v>
      </c>
      <c r="C402" s="17" t="s">
        <v>1920</v>
      </c>
      <c r="D402" s="17" t="s">
        <v>1159</v>
      </c>
      <c r="E402" s="17" t="s">
        <v>392</v>
      </c>
      <c r="F402" s="16" t="s">
        <v>68</v>
      </c>
      <c r="G402" s="16" t="s">
        <v>371</v>
      </c>
      <c r="H402" s="17" t="s">
        <v>1918</v>
      </c>
      <c r="I402" s="16" t="s">
        <v>74</v>
      </c>
      <c r="J402" s="17" t="s">
        <v>1027</v>
      </c>
      <c r="K402" s="20"/>
    </row>
    <row r="403" ht="15.75" customHeight="1">
      <c r="A403" s="14" t="s">
        <v>97</v>
      </c>
      <c r="B403" s="15">
        <v>285.0</v>
      </c>
      <c r="C403" s="17" t="s">
        <v>1923</v>
      </c>
      <c r="D403" s="17" t="s">
        <v>1167</v>
      </c>
      <c r="E403" s="17" t="s">
        <v>1034</v>
      </c>
      <c r="F403" s="16" t="s">
        <v>181</v>
      </c>
      <c r="G403" s="16" t="s">
        <v>72</v>
      </c>
      <c r="H403" s="17" t="s">
        <v>1918</v>
      </c>
      <c r="I403" s="16" t="s">
        <v>74</v>
      </c>
      <c r="J403" s="17" t="s">
        <v>1027</v>
      </c>
      <c r="K403" s="20"/>
    </row>
    <row r="404" ht="15.75" customHeight="1">
      <c r="A404" s="14" t="s">
        <v>97</v>
      </c>
      <c r="B404" s="15">
        <v>286.0</v>
      </c>
      <c r="C404" s="17" t="s">
        <v>1925</v>
      </c>
      <c r="D404" s="17" t="s">
        <v>1927</v>
      </c>
      <c r="E404" s="17" t="s">
        <v>386</v>
      </c>
      <c r="F404" s="16" t="s">
        <v>68</v>
      </c>
      <c r="G404" s="16" t="s">
        <v>371</v>
      </c>
      <c r="H404" s="17" t="s">
        <v>1928</v>
      </c>
      <c r="I404" s="16" t="s">
        <v>74</v>
      </c>
      <c r="J404" s="17" t="s">
        <v>1027</v>
      </c>
      <c r="K404" s="20"/>
    </row>
    <row r="405" ht="15.75" customHeight="1">
      <c r="A405" s="14" t="s">
        <v>97</v>
      </c>
      <c r="B405" s="15">
        <v>287.0</v>
      </c>
      <c r="C405" s="17" t="s">
        <v>1930</v>
      </c>
      <c r="D405" s="17" t="s">
        <v>1210</v>
      </c>
      <c r="E405" s="17" t="s">
        <v>392</v>
      </c>
      <c r="F405" s="16" t="s">
        <v>68</v>
      </c>
      <c r="G405" s="16" t="s">
        <v>371</v>
      </c>
      <c r="H405" s="17" t="s">
        <v>1928</v>
      </c>
      <c r="I405" s="16" t="s">
        <v>74</v>
      </c>
      <c r="J405" s="17" t="s">
        <v>1027</v>
      </c>
      <c r="K405" s="20"/>
    </row>
    <row r="406" ht="15.75" customHeight="1">
      <c r="A406" s="14" t="s">
        <v>97</v>
      </c>
      <c r="B406" s="15">
        <v>288.0</v>
      </c>
      <c r="C406" s="17" t="s">
        <v>1932</v>
      </c>
      <c r="D406" s="17" t="s">
        <v>1167</v>
      </c>
      <c r="E406" s="17" t="s">
        <v>1034</v>
      </c>
      <c r="F406" s="16" t="s">
        <v>181</v>
      </c>
      <c r="G406" s="16" t="s">
        <v>72</v>
      </c>
      <c r="H406" s="17" t="s">
        <v>1928</v>
      </c>
      <c r="I406" s="16" t="s">
        <v>74</v>
      </c>
      <c r="J406" s="17" t="s">
        <v>1027</v>
      </c>
      <c r="K406" s="20"/>
    </row>
    <row r="407" ht="15.75" customHeight="1">
      <c r="A407" s="14" t="s">
        <v>97</v>
      </c>
      <c r="B407" s="15">
        <v>289.0</v>
      </c>
      <c r="C407" s="17" t="s">
        <v>1933</v>
      </c>
      <c r="D407" s="17" t="s">
        <v>1934</v>
      </c>
      <c r="E407" s="17" t="s">
        <v>386</v>
      </c>
      <c r="F407" s="16" t="s">
        <v>68</v>
      </c>
      <c r="G407" s="16" t="s">
        <v>371</v>
      </c>
      <c r="H407" s="17" t="s">
        <v>1935</v>
      </c>
      <c r="I407" s="16" t="s">
        <v>74</v>
      </c>
      <c r="J407" s="17" t="s">
        <v>1027</v>
      </c>
      <c r="K407" s="20"/>
    </row>
    <row r="408" ht="15.75" customHeight="1">
      <c r="A408" s="14" t="s">
        <v>97</v>
      </c>
      <c r="B408" s="15">
        <v>290.0</v>
      </c>
      <c r="C408" s="17" t="s">
        <v>1936</v>
      </c>
      <c r="D408" s="17" t="s">
        <v>1747</v>
      </c>
      <c r="E408" s="17" t="s">
        <v>392</v>
      </c>
      <c r="F408" s="16" t="s">
        <v>68</v>
      </c>
      <c r="G408" s="16" t="s">
        <v>371</v>
      </c>
      <c r="H408" s="17" t="s">
        <v>1935</v>
      </c>
      <c r="I408" s="16" t="s">
        <v>74</v>
      </c>
      <c r="J408" s="17" t="s">
        <v>1027</v>
      </c>
      <c r="K408" s="20"/>
    </row>
    <row r="409" ht="15.75" customHeight="1">
      <c r="A409" s="14" t="s">
        <v>97</v>
      </c>
      <c r="B409" s="15">
        <v>291.0</v>
      </c>
      <c r="C409" s="17" t="s">
        <v>1937</v>
      </c>
      <c r="D409" s="17" t="s">
        <v>1214</v>
      </c>
      <c r="E409" s="17" t="s">
        <v>1034</v>
      </c>
      <c r="F409" s="16" t="s">
        <v>181</v>
      </c>
      <c r="G409" s="16" t="s">
        <v>72</v>
      </c>
      <c r="H409" s="17" t="s">
        <v>1935</v>
      </c>
      <c r="I409" s="16" t="s">
        <v>74</v>
      </c>
      <c r="J409" s="17" t="s">
        <v>1027</v>
      </c>
      <c r="K409" s="20"/>
    </row>
    <row r="410" ht="15.75" customHeight="1">
      <c r="A410" s="14" t="s">
        <v>97</v>
      </c>
      <c r="B410" s="15">
        <v>292.0</v>
      </c>
      <c r="C410" s="17" t="s">
        <v>649</v>
      </c>
      <c r="D410" s="17" t="s">
        <v>1939</v>
      </c>
      <c r="E410" s="17" t="s">
        <v>441</v>
      </c>
      <c r="F410" s="16" t="s">
        <v>68</v>
      </c>
      <c r="G410" s="16" t="s">
        <v>371</v>
      </c>
      <c r="H410" s="17" t="s">
        <v>1940</v>
      </c>
      <c r="I410" s="16" t="s">
        <v>74</v>
      </c>
      <c r="J410" s="17" t="s">
        <v>1230</v>
      </c>
      <c r="K410" s="20"/>
    </row>
    <row r="411" ht="15.75" customHeight="1">
      <c r="A411" s="14" t="s">
        <v>97</v>
      </c>
      <c r="B411" s="15">
        <v>293.0</v>
      </c>
      <c r="C411" s="17" t="s">
        <v>653</v>
      </c>
      <c r="D411" s="17" t="s">
        <v>1942</v>
      </c>
      <c r="E411" s="17" t="s">
        <v>441</v>
      </c>
      <c r="F411" s="16" t="s">
        <v>68</v>
      </c>
      <c r="G411" s="16" t="s">
        <v>371</v>
      </c>
      <c r="H411" s="17" t="s">
        <v>1943</v>
      </c>
      <c r="I411" s="16" t="s">
        <v>74</v>
      </c>
      <c r="J411" s="17" t="s">
        <v>1230</v>
      </c>
      <c r="K411" s="20"/>
    </row>
    <row r="412" ht="15.75" customHeight="1">
      <c r="A412" s="14" t="s">
        <v>97</v>
      </c>
      <c r="B412" s="15">
        <v>294.0</v>
      </c>
      <c r="C412" s="17" t="s">
        <v>657</v>
      </c>
      <c r="D412" s="17" t="s">
        <v>1944</v>
      </c>
      <c r="E412" s="17" t="s">
        <v>441</v>
      </c>
      <c r="F412" s="16" t="s">
        <v>68</v>
      </c>
      <c r="G412" s="16" t="s">
        <v>371</v>
      </c>
      <c r="H412" s="17" t="s">
        <v>1945</v>
      </c>
      <c r="I412" s="16" t="s">
        <v>74</v>
      </c>
      <c r="J412" s="17" t="s">
        <v>1230</v>
      </c>
      <c r="K412" s="20"/>
    </row>
    <row r="413" ht="15.75" customHeight="1">
      <c r="A413" s="14" t="s">
        <v>97</v>
      </c>
      <c r="B413" s="15">
        <v>295.0</v>
      </c>
      <c r="C413" s="17" t="s">
        <v>1946</v>
      </c>
      <c r="D413" s="17" t="s">
        <v>1947</v>
      </c>
      <c r="E413" s="17" t="s">
        <v>441</v>
      </c>
      <c r="F413" s="16" t="s">
        <v>68</v>
      </c>
      <c r="G413" s="16" t="s">
        <v>371</v>
      </c>
      <c r="H413" s="17" t="s">
        <v>1948</v>
      </c>
      <c r="I413" s="16" t="s">
        <v>74</v>
      </c>
      <c r="J413" s="17" t="s">
        <v>1230</v>
      </c>
      <c r="K413" s="20"/>
    </row>
    <row r="414" ht="15.75" customHeight="1">
      <c r="A414" s="14" t="s">
        <v>97</v>
      </c>
      <c r="B414" s="15">
        <v>296.0</v>
      </c>
      <c r="C414" s="17" t="s">
        <v>400</v>
      </c>
      <c r="D414" s="17" t="s">
        <v>1949</v>
      </c>
      <c r="E414" s="17" t="s">
        <v>369</v>
      </c>
      <c r="F414" s="16" t="s">
        <v>68</v>
      </c>
      <c r="G414" s="16" t="s">
        <v>371</v>
      </c>
      <c r="H414" s="17" t="s">
        <v>949</v>
      </c>
      <c r="I414" s="16" t="s">
        <v>74</v>
      </c>
      <c r="J414" s="17" t="s">
        <v>1950</v>
      </c>
      <c r="K414" s="20"/>
    </row>
    <row r="415" ht="15.75" customHeight="1">
      <c r="A415" s="14" t="s">
        <v>97</v>
      </c>
      <c r="B415" s="15">
        <v>297.0</v>
      </c>
      <c r="C415" s="17" t="s">
        <v>1331</v>
      </c>
      <c r="D415" s="17" t="s">
        <v>1800</v>
      </c>
      <c r="E415" s="17" t="s">
        <v>956</v>
      </c>
      <c r="F415" s="16" t="s">
        <v>68</v>
      </c>
      <c r="G415" s="16" t="s">
        <v>864</v>
      </c>
      <c r="H415" s="17" t="s">
        <v>959</v>
      </c>
      <c r="I415" s="16" t="s">
        <v>74</v>
      </c>
      <c r="J415" s="17" t="s">
        <v>1950</v>
      </c>
      <c r="K415" s="20"/>
    </row>
    <row r="416" ht="15.75" customHeight="1">
      <c r="A416" s="14" t="s">
        <v>97</v>
      </c>
      <c r="B416" s="15">
        <v>298.0</v>
      </c>
      <c r="C416" s="17" t="s">
        <v>1494</v>
      </c>
      <c r="D416" s="17" t="s">
        <v>1951</v>
      </c>
      <c r="E416" s="17" t="s">
        <v>967</v>
      </c>
      <c r="F416" s="16" t="s">
        <v>68</v>
      </c>
      <c r="G416" s="16" t="s">
        <v>970</v>
      </c>
      <c r="H416" s="17" t="s">
        <v>972</v>
      </c>
      <c r="I416" s="16" t="s">
        <v>74</v>
      </c>
      <c r="J416" s="17" t="s">
        <v>1950</v>
      </c>
      <c r="K416" s="20"/>
    </row>
    <row r="417" ht="15.75" customHeight="1">
      <c r="A417" s="14" t="s">
        <v>97</v>
      </c>
      <c r="B417" s="15">
        <v>299.0</v>
      </c>
      <c r="C417" s="17" t="s">
        <v>1952</v>
      </c>
      <c r="D417" s="17" t="s">
        <v>1803</v>
      </c>
      <c r="E417" s="17" t="s">
        <v>979</v>
      </c>
      <c r="F417" s="16" t="s">
        <v>68</v>
      </c>
      <c r="G417" s="16" t="s">
        <v>864</v>
      </c>
      <c r="H417" s="17" t="s">
        <v>983</v>
      </c>
      <c r="I417" s="16" t="s">
        <v>74</v>
      </c>
      <c r="J417" s="17" t="s">
        <v>1950</v>
      </c>
      <c r="K417" s="20"/>
    </row>
    <row r="418" ht="15.75" customHeight="1">
      <c r="A418" s="14" t="s">
        <v>97</v>
      </c>
      <c r="B418" s="15">
        <v>300.0</v>
      </c>
      <c r="C418" s="17" t="s">
        <v>1955</v>
      </c>
      <c r="D418" s="17" t="s">
        <v>930</v>
      </c>
      <c r="E418" s="17" t="s">
        <v>990</v>
      </c>
      <c r="F418" s="16" t="s">
        <v>357</v>
      </c>
      <c r="G418" s="16" t="s">
        <v>864</v>
      </c>
      <c r="H418" s="17" t="s">
        <v>992</v>
      </c>
      <c r="I418" s="16" t="s">
        <v>74</v>
      </c>
      <c r="J418" s="17" t="s">
        <v>1950</v>
      </c>
      <c r="K418" s="20"/>
    </row>
    <row r="419" ht="15.75" customHeight="1">
      <c r="A419" s="14" t="s">
        <v>97</v>
      </c>
      <c r="B419" s="15">
        <v>301.0</v>
      </c>
      <c r="C419" s="17" t="s">
        <v>1957</v>
      </c>
      <c r="D419" s="17" t="s">
        <v>75</v>
      </c>
      <c r="E419" s="17" t="s">
        <v>1001</v>
      </c>
      <c r="F419" s="16" t="s">
        <v>357</v>
      </c>
      <c r="G419" s="16" t="s">
        <v>864</v>
      </c>
      <c r="H419" s="17" t="s">
        <v>992</v>
      </c>
      <c r="I419" s="16" t="s">
        <v>74</v>
      </c>
      <c r="J419" s="17" t="s">
        <v>1950</v>
      </c>
      <c r="K419" s="20"/>
    </row>
    <row r="420" ht="15.75" customHeight="1">
      <c r="A420" s="14" t="s">
        <v>97</v>
      </c>
      <c r="B420" s="15">
        <v>302.0</v>
      </c>
      <c r="C420" s="17" t="s">
        <v>1339</v>
      </c>
      <c r="D420" s="17" t="s">
        <v>1959</v>
      </c>
      <c r="E420" s="17" t="s">
        <v>1012</v>
      </c>
      <c r="F420" s="16" t="s">
        <v>68</v>
      </c>
      <c r="G420" s="16" t="s">
        <v>72</v>
      </c>
      <c r="H420" s="17" t="s">
        <v>1014</v>
      </c>
      <c r="I420" s="16" t="s">
        <v>74</v>
      </c>
      <c r="J420" s="17" t="s">
        <v>1950</v>
      </c>
      <c r="K420" s="20"/>
    </row>
    <row r="421" ht="15.75" customHeight="1">
      <c r="A421" s="14" t="s">
        <v>97</v>
      </c>
      <c r="B421" s="15">
        <v>303.0</v>
      </c>
      <c r="C421" s="17" t="s">
        <v>1961</v>
      </c>
      <c r="D421" s="17" t="s">
        <v>1962</v>
      </c>
      <c r="E421" s="17" t="s">
        <v>441</v>
      </c>
      <c r="F421" s="16" t="s">
        <v>68</v>
      </c>
      <c r="G421" s="16" t="s">
        <v>371</v>
      </c>
      <c r="H421" s="17" t="s">
        <v>1022</v>
      </c>
      <c r="I421" s="16" t="s">
        <v>74</v>
      </c>
      <c r="J421" s="17" t="s">
        <v>1950</v>
      </c>
      <c r="K421" s="20"/>
    </row>
    <row r="422" ht="15.75" customHeight="1">
      <c r="A422" s="14" t="s">
        <v>97</v>
      </c>
      <c r="B422" s="15">
        <v>304.0</v>
      </c>
      <c r="C422" s="17" t="s">
        <v>917</v>
      </c>
      <c r="D422" s="17" t="s">
        <v>1964</v>
      </c>
      <c r="E422" s="17" t="s">
        <v>386</v>
      </c>
      <c r="F422" s="16" t="s">
        <v>68</v>
      </c>
      <c r="G422" s="16" t="s">
        <v>371</v>
      </c>
      <c r="H422" s="17" t="s">
        <v>1965</v>
      </c>
      <c r="I422" s="16" t="s">
        <v>74</v>
      </c>
      <c r="J422" s="17" t="s">
        <v>1027</v>
      </c>
      <c r="K422" s="20"/>
    </row>
    <row r="423" ht="15.75" customHeight="1">
      <c r="A423" s="14" t="s">
        <v>97</v>
      </c>
      <c r="B423" s="15">
        <v>305.0</v>
      </c>
      <c r="C423" s="17" t="s">
        <v>1321</v>
      </c>
      <c r="D423" s="17" t="s">
        <v>1811</v>
      </c>
      <c r="E423" s="17" t="s">
        <v>392</v>
      </c>
      <c r="F423" s="16" t="s">
        <v>68</v>
      </c>
      <c r="G423" s="16" t="s">
        <v>371</v>
      </c>
      <c r="H423" s="17" t="s">
        <v>1965</v>
      </c>
      <c r="I423" s="16" t="s">
        <v>74</v>
      </c>
      <c r="J423" s="17" t="s">
        <v>1027</v>
      </c>
      <c r="K423" s="20"/>
    </row>
    <row r="424" ht="15.75" customHeight="1">
      <c r="A424" s="14" t="s">
        <v>97</v>
      </c>
      <c r="B424" s="15">
        <v>306.0</v>
      </c>
      <c r="C424" s="17" t="s">
        <v>1306</v>
      </c>
      <c r="D424" s="17" t="s">
        <v>1969</v>
      </c>
      <c r="E424" s="17" t="s">
        <v>1034</v>
      </c>
      <c r="F424" s="16" t="s">
        <v>181</v>
      </c>
      <c r="G424" s="16" t="s">
        <v>72</v>
      </c>
      <c r="H424" s="17" t="s">
        <v>1965</v>
      </c>
      <c r="I424" s="16" t="s">
        <v>74</v>
      </c>
      <c r="J424" s="17" t="s">
        <v>1027</v>
      </c>
      <c r="K424" s="20"/>
    </row>
    <row r="425" ht="15.75" customHeight="1">
      <c r="A425" s="14" t="s">
        <v>97</v>
      </c>
      <c r="B425" s="15">
        <v>307.0</v>
      </c>
      <c r="C425" s="17" t="s">
        <v>1314</v>
      </c>
      <c r="D425" s="17" t="s">
        <v>1896</v>
      </c>
      <c r="E425" s="17" t="s">
        <v>1037</v>
      </c>
      <c r="F425" s="16" t="s">
        <v>68</v>
      </c>
      <c r="G425" s="16" t="s">
        <v>72</v>
      </c>
      <c r="H425" s="17" t="s">
        <v>1965</v>
      </c>
      <c r="I425" s="16" t="s">
        <v>74</v>
      </c>
      <c r="J425" s="17" t="s">
        <v>1027</v>
      </c>
      <c r="K425" s="20"/>
    </row>
    <row r="426" ht="15.75" customHeight="1">
      <c r="A426" s="14" t="s">
        <v>97</v>
      </c>
      <c r="B426" s="15">
        <v>308.0</v>
      </c>
      <c r="C426" s="17" t="s">
        <v>920</v>
      </c>
      <c r="D426" s="17" t="s">
        <v>1971</v>
      </c>
      <c r="E426" s="17" t="s">
        <v>386</v>
      </c>
      <c r="F426" s="16" t="s">
        <v>68</v>
      </c>
      <c r="G426" s="16" t="s">
        <v>371</v>
      </c>
      <c r="H426" s="17" t="s">
        <v>1972</v>
      </c>
      <c r="I426" s="16" t="s">
        <v>74</v>
      </c>
      <c r="J426" s="17" t="s">
        <v>1027</v>
      </c>
      <c r="K426" s="20"/>
    </row>
    <row r="427" ht="15.75" customHeight="1">
      <c r="A427" s="14" t="s">
        <v>97</v>
      </c>
      <c r="B427" s="15">
        <v>309.0</v>
      </c>
      <c r="C427" s="17" t="s">
        <v>1899</v>
      </c>
      <c r="D427" s="17" t="s">
        <v>1811</v>
      </c>
      <c r="E427" s="17" t="s">
        <v>392</v>
      </c>
      <c r="F427" s="16" t="s">
        <v>68</v>
      </c>
      <c r="G427" s="16" t="s">
        <v>371</v>
      </c>
      <c r="H427" s="17" t="s">
        <v>1972</v>
      </c>
      <c r="I427" s="16" t="s">
        <v>74</v>
      </c>
      <c r="J427" s="17" t="s">
        <v>1027</v>
      </c>
      <c r="K427" s="20"/>
    </row>
    <row r="428" ht="15.75" customHeight="1">
      <c r="A428" s="14" t="s">
        <v>97</v>
      </c>
      <c r="B428" s="15">
        <v>310.0</v>
      </c>
      <c r="C428" s="17" t="s">
        <v>1975</v>
      </c>
      <c r="D428" s="17" t="s">
        <v>1501</v>
      </c>
      <c r="E428" s="17" t="s">
        <v>1034</v>
      </c>
      <c r="F428" s="16" t="s">
        <v>181</v>
      </c>
      <c r="G428" s="16" t="s">
        <v>72</v>
      </c>
      <c r="H428" s="17" t="s">
        <v>1972</v>
      </c>
      <c r="I428" s="16" t="s">
        <v>74</v>
      </c>
      <c r="J428" s="17" t="s">
        <v>1027</v>
      </c>
      <c r="K428" s="20"/>
    </row>
    <row r="429" ht="15.75" customHeight="1">
      <c r="A429" s="14" t="s">
        <v>97</v>
      </c>
      <c r="B429" s="15">
        <v>311.0</v>
      </c>
      <c r="C429" s="17" t="s">
        <v>1978</v>
      </c>
      <c r="D429" s="17" t="s">
        <v>1472</v>
      </c>
      <c r="E429" s="17" t="s">
        <v>1037</v>
      </c>
      <c r="F429" s="16" t="s">
        <v>68</v>
      </c>
      <c r="G429" s="16" t="s">
        <v>72</v>
      </c>
      <c r="H429" s="17" t="s">
        <v>1972</v>
      </c>
      <c r="I429" s="16" t="s">
        <v>74</v>
      </c>
      <c r="J429" s="17" t="s">
        <v>1027</v>
      </c>
      <c r="K429" s="20"/>
    </row>
    <row r="430" ht="15.75" customHeight="1">
      <c r="A430" s="14" t="s">
        <v>97</v>
      </c>
      <c r="B430" s="15">
        <v>312.0</v>
      </c>
      <c r="C430" s="17" t="s">
        <v>1758</v>
      </c>
      <c r="D430" s="17" t="s">
        <v>1980</v>
      </c>
      <c r="E430" s="17" t="s">
        <v>386</v>
      </c>
      <c r="F430" s="16" t="s">
        <v>68</v>
      </c>
      <c r="G430" s="16" t="s">
        <v>371</v>
      </c>
      <c r="H430" s="17" t="s">
        <v>1982</v>
      </c>
      <c r="I430" s="16" t="s">
        <v>74</v>
      </c>
      <c r="J430" s="17" t="s">
        <v>1027</v>
      </c>
      <c r="K430" s="20"/>
    </row>
    <row r="431" ht="15.75" customHeight="1">
      <c r="A431" s="14" t="s">
        <v>97</v>
      </c>
      <c r="B431" s="15">
        <v>313.0</v>
      </c>
      <c r="C431" s="17" t="s">
        <v>1900</v>
      </c>
      <c r="D431" s="17" t="s">
        <v>1055</v>
      </c>
      <c r="E431" s="17" t="s">
        <v>392</v>
      </c>
      <c r="F431" s="16" t="s">
        <v>68</v>
      </c>
      <c r="G431" s="16" t="s">
        <v>371</v>
      </c>
      <c r="H431" s="17" t="s">
        <v>1982</v>
      </c>
      <c r="I431" s="16" t="s">
        <v>74</v>
      </c>
      <c r="J431" s="17" t="s">
        <v>1027</v>
      </c>
      <c r="K431" s="20"/>
    </row>
    <row r="432" ht="15.75" customHeight="1">
      <c r="A432" s="14" t="s">
        <v>97</v>
      </c>
      <c r="B432" s="15">
        <v>314.0</v>
      </c>
      <c r="C432" s="17" t="s">
        <v>1986</v>
      </c>
      <c r="D432" s="17" t="s">
        <v>1167</v>
      </c>
      <c r="E432" s="17" t="s">
        <v>1034</v>
      </c>
      <c r="F432" s="16" t="s">
        <v>181</v>
      </c>
      <c r="G432" s="16" t="s">
        <v>72</v>
      </c>
      <c r="H432" s="17" t="s">
        <v>1982</v>
      </c>
      <c r="I432" s="16" t="s">
        <v>74</v>
      </c>
      <c r="J432" s="17" t="s">
        <v>1027</v>
      </c>
      <c r="K432" s="20"/>
    </row>
    <row r="433" ht="15.75" customHeight="1">
      <c r="A433" s="14" t="s">
        <v>97</v>
      </c>
      <c r="B433" s="15">
        <v>315.0</v>
      </c>
      <c r="C433" s="17" t="s">
        <v>1988</v>
      </c>
      <c r="D433" s="17" t="s">
        <v>1989</v>
      </c>
      <c r="E433" s="17" t="s">
        <v>1037</v>
      </c>
      <c r="F433" s="16" t="s">
        <v>68</v>
      </c>
      <c r="G433" s="16" t="s">
        <v>72</v>
      </c>
      <c r="H433" s="17" t="s">
        <v>1982</v>
      </c>
      <c r="I433" s="16" t="s">
        <v>74</v>
      </c>
      <c r="J433" s="17" t="s">
        <v>1027</v>
      </c>
      <c r="K433" s="20"/>
    </row>
    <row r="434" ht="15.75" customHeight="1">
      <c r="A434" s="14" t="s">
        <v>97</v>
      </c>
      <c r="B434" s="15">
        <v>316.0</v>
      </c>
      <c r="C434" s="17" t="s">
        <v>1991</v>
      </c>
      <c r="D434" s="17" t="s">
        <v>1992</v>
      </c>
      <c r="E434" s="17" t="s">
        <v>386</v>
      </c>
      <c r="F434" s="16" t="s">
        <v>68</v>
      </c>
      <c r="G434" s="16" t="s">
        <v>371</v>
      </c>
      <c r="H434" s="17" t="s">
        <v>1994</v>
      </c>
      <c r="I434" s="16" t="s">
        <v>74</v>
      </c>
      <c r="J434" s="17" t="s">
        <v>1027</v>
      </c>
      <c r="K434" s="20"/>
    </row>
    <row r="435" ht="15.75" customHeight="1">
      <c r="A435" s="14" t="s">
        <v>97</v>
      </c>
      <c r="B435" s="15">
        <v>317.0</v>
      </c>
      <c r="C435" s="17" t="s">
        <v>1902</v>
      </c>
      <c r="D435" s="17" t="s">
        <v>1090</v>
      </c>
      <c r="E435" s="17" t="s">
        <v>392</v>
      </c>
      <c r="F435" s="16" t="s">
        <v>68</v>
      </c>
      <c r="G435" s="16" t="s">
        <v>371</v>
      </c>
      <c r="H435" s="17" t="s">
        <v>1994</v>
      </c>
      <c r="I435" s="16" t="s">
        <v>74</v>
      </c>
      <c r="J435" s="17" t="s">
        <v>1027</v>
      </c>
      <c r="K435" s="20"/>
    </row>
    <row r="436" ht="15.75" customHeight="1">
      <c r="A436" s="14" t="s">
        <v>97</v>
      </c>
      <c r="B436" s="15">
        <v>318.0</v>
      </c>
      <c r="C436" s="17" t="s">
        <v>1997</v>
      </c>
      <c r="D436" s="17" t="s">
        <v>1462</v>
      </c>
      <c r="E436" s="17" t="s">
        <v>1034</v>
      </c>
      <c r="F436" s="16" t="s">
        <v>181</v>
      </c>
      <c r="G436" s="16" t="s">
        <v>72</v>
      </c>
      <c r="H436" s="17" t="s">
        <v>1994</v>
      </c>
      <c r="I436" s="16" t="s">
        <v>74</v>
      </c>
      <c r="J436" s="17" t="s">
        <v>1027</v>
      </c>
      <c r="K436" s="20"/>
    </row>
    <row r="437" ht="15.75" customHeight="1">
      <c r="A437" s="14" t="s">
        <v>97</v>
      </c>
      <c r="B437" s="15">
        <v>319.0</v>
      </c>
      <c r="C437" s="17" t="s">
        <v>2000</v>
      </c>
      <c r="D437" s="17" t="s">
        <v>1203</v>
      </c>
      <c r="E437" s="17" t="s">
        <v>1037</v>
      </c>
      <c r="F437" s="16" t="s">
        <v>68</v>
      </c>
      <c r="G437" s="16" t="s">
        <v>72</v>
      </c>
      <c r="H437" s="17" t="s">
        <v>1994</v>
      </c>
      <c r="I437" s="16" t="s">
        <v>74</v>
      </c>
      <c r="J437" s="17" t="s">
        <v>1027</v>
      </c>
      <c r="K437" s="20"/>
    </row>
    <row r="438" ht="15.75" customHeight="1">
      <c r="A438" s="14" t="s">
        <v>97</v>
      </c>
      <c r="B438" s="15">
        <v>320.0</v>
      </c>
      <c r="C438" s="17" t="s">
        <v>1761</v>
      </c>
      <c r="D438" s="17" t="s">
        <v>2002</v>
      </c>
      <c r="E438" s="17" t="s">
        <v>386</v>
      </c>
      <c r="F438" s="16" t="s">
        <v>68</v>
      </c>
      <c r="G438" s="16" t="s">
        <v>371</v>
      </c>
      <c r="H438" s="17" t="s">
        <v>2004</v>
      </c>
      <c r="I438" s="16" t="s">
        <v>74</v>
      </c>
      <c r="J438" s="17" t="s">
        <v>1027</v>
      </c>
      <c r="K438" s="20"/>
    </row>
    <row r="439" ht="15.75" customHeight="1">
      <c r="A439" s="14" t="s">
        <v>97</v>
      </c>
      <c r="B439" s="15">
        <v>321.0</v>
      </c>
      <c r="C439" s="17" t="s">
        <v>1904</v>
      </c>
      <c r="D439" s="17" t="s">
        <v>1733</v>
      </c>
      <c r="E439" s="17" t="s">
        <v>392</v>
      </c>
      <c r="F439" s="16" t="s">
        <v>68</v>
      </c>
      <c r="G439" s="16" t="s">
        <v>371</v>
      </c>
      <c r="H439" s="17" t="s">
        <v>2004</v>
      </c>
      <c r="I439" s="16" t="s">
        <v>74</v>
      </c>
      <c r="J439" s="17" t="s">
        <v>1027</v>
      </c>
      <c r="K439" s="20"/>
    </row>
    <row r="440" ht="15.75" customHeight="1">
      <c r="A440" s="14" t="s">
        <v>97</v>
      </c>
      <c r="B440" s="15">
        <v>322.0</v>
      </c>
      <c r="C440" s="17" t="s">
        <v>2006</v>
      </c>
      <c r="D440" s="17" t="s">
        <v>1167</v>
      </c>
      <c r="E440" s="17" t="s">
        <v>1034</v>
      </c>
      <c r="F440" s="16" t="s">
        <v>181</v>
      </c>
      <c r="G440" s="16" t="s">
        <v>72</v>
      </c>
      <c r="H440" s="17" t="s">
        <v>2004</v>
      </c>
      <c r="I440" s="16" t="s">
        <v>74</v>
      </c>
      <c r="J440" s="17" t="s">
        <v>1027</v>
      </c>
      <c r="K440" s="20"/>
    </row>
    <row r="441" ht="15.75" customHeight="1">
      <c r="A441" s="14" t="s">
        <v>97</v>
      </c>
      <c r="B441" s="15">
        <v>323.0</v>
      </c>
      <c r="C441" s="17" t="s">
        <v>2008</v>
      </c>
      <c r="D441" s="17" t="s">
        <v>1203</v>
      </c>
      <c r="E441" s="17" t="s">
        <v>1037</v>
      </c>
      <c r="F441" s="16" t="s">
        <v>68</v>
      </c>
      <c r="G441" s="16" t="s">
        <v>72</v>
      </c>
      <c r="H441" s="17" t="s">
        <v>2004</v>
      </c>
      <c r="I441" s="16" t="s">
        <v>74</v>
      </c>
      <c r="J441" s="17" t="s">
        <v>1027</v>
      </c>
      <c r="K441" s="20"/>
    </row>
    <row r="442" ht="15.75" customHeight="1">
      <c r="A442" s="14" t="s">
        <v>97</v>
      </c>
      <c r="B442" s="15">
        <v>324.0</v>
      </c>
      <c r="C442" s="17" t="s">
        <v>661</v>
      </c>
      <c r="D442" s="17" t="s">
        <v>2010</v>
      </c>
      <c r="E442" s="17" t="s">
        <v>441</v>
      </c>
      <c r="F442" s="16" t="s">
        <v>68</v>
      </c>
      <c r="G442" s="16" t="s">
        <v>371</v>
      </c>
      <c r="H442" s="17" t="s">
        <v>2011</v>
      </c>
      <c r="I442" s="16" t="s">
        <v>74</v>
      </c>
      <c r="J442" s="17" t="s">
        <v>1230</v>
      </c>
      <c r="K442" s="20"/>
    </row>
    <row r="443" ht="15.75" customHeight="1">
      <c r="A443" s="14" t="s">
        <v>97</v>
      </c>
      <c r="B443" s="15">
        <v>325.0</v>
      </c>
      <c r="C443" s="17" t="s">
        <v>2013</v>
      </c>
      <c r="D443" s="17" t="s">
        <v>2014</v>
      </c>
      <c r="E443" s="17" t="s">
        <v>441</v>
      </c>
      <c r="F443" s="16" t="s">
        <v>68</v>
      </c>
      <c r="G443" s="16" t="s">
        <v>371</v>
      </c>
      <c r="H443" s="17" t="s">
        <v>2016</v>
      </c>
      <c r="I443" s="16" t="s">
        <v>74</v>
      </c>
      <c r="J443" s="17" t="s">
        <v>1230</v>
      </c>
      <c r="K443" s="20"/>
    </row>
    <row r="444" ht="15.75" customHeight="1">
      <c r="A444" s="14" t="s">
        <v>97</v>
      </c>
      <c r="B444" s="15">
        <v>326.0</v>
      </c>
      <c r="C444" s="17" t="s">
        <v>2017</v>
      </c>
      <c r="D444" s="17" t="s">
        <v>2018</v>
      </c>
      <c r="E444" s="17" t="s">
        <v>441</v>
      </c>
      <c r="F444" s="16" t="s">
        <v>68</v>
      </c>
      <c r="G444" s="16" t="s">
        <v>371</v>
      </c>
      <c r="H444" s="17" t="s">
        <v>2019</v>
      </c>
      <c r="I444" s="16" t="s">
        <v>74</v>
      </c>
      <c r="J444" s="17" t="s">
        <v>1230</v>
      </c>
      <c r="K444" s="20"/>
    </row>
    <row r="445" ht="15.75" customHeight="1">
      <c r="A445" s="14" t="s">
        <v>97</v>
      </c>
      <c r="B445" s="15">
        <v>327.0</v>
      </c>
      <c r="C445" s="17" t="s">
        <v>2021</v>
      </c>
      <c r="D445" s="17" t="s">
        <v>2022</v>
      </c>
      <c r="E445" s="17" t="s">
        <v>441</v>
      </c>
      <c r="F445" s="16" t="s">
        <v>68</v>
      </c>
      <c r="G445" s="16" t="s">
        <v>371</v>
      </c>
      <c r="H445" s="17" t="s">
        <v>2023</v>
      </c>
      <c r="I445" s="16" t="s">
        <v>74</v>
      </c>
      <c r="J445" s="17" t="s">
        <v>1230</v>
      </c>
      <c r="K445" s="20"/>
    </row>
    <row r="446" ht="15.75" customHeight="1">
      <c r="A446" s="14" t="s">
        <v>97</v>
      </c>
      <c r="B446" s="15">
        <v>328.0</v>
      </c>
      <c r="C446" s="17" t="s">
        <v>404</v>
      </c>
      <c r="D446" s="17" t="s">
        <v>2025</v>
      </c>
      <c r="E446" s="17" t="s">
        <v>369</v>
      </c>
      <c r="F446" s="16" t="s">
        <v>68</v>
      </c>
      <c r="G446" s="16" t="s">
        <v>371</v>
      </c>
      <c r="H446" s="17" t="s">
        <v>949</v>
      </c>
      <c r="I446" s="16" t="s">
        <v>74</v>
      </c>
      <c r="J446" s="17" t="s">
        <v>2027</v>
      </c>
      <c r="K446" s="20"/>
    </row>
    <row r="447" ht="15.75" customHeight="1">
      <c r="A447" s="14" t="s">
        <v>97</v>
      </c>
      <c r="B447" s="15">
        <v>329.0</v>
      </c>
      <c r="C447" s="17" t="s">
        <v>1361</v>
      </c>
      <c r="D447" s="17" t="s">
        <v>2029</v>
      </c>
      <c r="E447" s="17" t="s">
        <v>956</v>
      </c>
      <c r="F447" s="16" t="s">
        <v>68</v>
      </c>
      <c r="G447" s="16" t="s">
        <v>864</v>
      </c>
      <c r="H447" s="17" t="s">
        <v>959</v>
      </c>
      <c r="I447" s="16" t="s">
        <v>74</v>
      </c>
      <c r="J447" s="17" t="s">
        <v>2027</v>
      </c>
      <c r="K447" s="20"/>
    </row>
    <row r="448" ht="15.75" customHeight="1">
      <c r="A448" s="14" t="s">
        <v>97</v>
      </c>
      <c r="B448" s="15">
        <v>330.0</v>
      </c>
      <c r="C448" s="17" t="s">
        <v>2032</v>
      </c>
      <c r="D448" s="17" t="s">
        <v>2033</v>
      </c>
      <c r="E448" s="17" t="s">
        <v>967</v>
      </c>
      <c r="F448" s="16" t="s">
        <v>68</v>
      </c>
      <c r="G448" s="16" t="s">
        <v>970</v>
      </c>
      <c r="H448" s="17" t="s">
        <v>972</v>
      </c>
      <c r="I448" s="16" t="s">
        <v>74</v>
      </c>
      <c r="J448" s="17" t="s">
        <v>2027</v>
      </c>
      <c r="K448" s="20"/>
    </row>
    <row r="449" ht="15.75" customHeight="1">
      <c r="A449" s="14" t="s">
        <v>97</v>
      </c>
      <c r="B449" s="15">
        <v>331.0</v>
      </c>
      <c r="C449" s="17" t="s">
        <v>2036</v>
      </c>
      <c r="D449" s="17" t="s">
        <v>1884</v>
      </c>
      <c r="E449" s="17" t="s">
        <v>979</v>
      </c>
      <c r="F449" s="16" t="s">
        <v>68</v>
      </c>
      <c r="G449" s="16" t="s">
        <v>864</v>
      </c>
      <c r="H449" s="17" t="s">
        <v>983</v>
      </c>
      <c r="I449" s="16" t="s">
        <v>74</v>
      </c>
      <c r="J449" s="17" t="s">
        <v>2027</v>
      </c>
      <c r="K449" s="20"/>
    </row>
    <row r="450" ht="15.75" customHeight="1">
      <c r="A450" s="14" t="s">
        <v>97</v>
      </c>
      <c r="B450" s="15">
        <v>332.0</v>
      </c>
      <c r="C450" s="17" t="s">
        <v>2038</v>
      </c>
      <c r="D450" s="17" t="s">
        <v>930</v>
      </c>
      <c r="E450" s="17" t="s">
        <v>990</v>
      </c>
      <c r="F450" s="16" t="s">
        <v>357</v>
      </c>
      <c r="G450" s="16" t="s">
        <v>864</v>
      </c>
      <c r="H450" s="17" t="s">
        <v>992</v>
      </c>
      <c r="I450" s="16" t="s">
        <v>74</v>
      </c>
      <c r="J450" s="17" t="s">
        <v>2027</v>
      </c>
      <c r="K450" s="20"/>
    </row>
    <row r="451" ht="15.75" customHeight="1">
      <c r="A451" s="14" t="s">
        <v>97</v>
      </c>
      <c r="B451" s="15">
        <v>333.0</v>
      </c>
      <c r="C451" s="17" t="s">
        <v>2041</v>
      </c>
      <c r="D451" s="17" t="s">
        <v>75</v>
      </c>
      <c r="E451" s="17" t="s">
        <v>1001</v>
      </c>
      <c r="F451" s="16" t="s">
        <v>357</v>
      </c>
      <c r="G451" s="16" t="s">
        <v>864</v>
      </c>
      <c r="H451" s="17" t="s">
        <v>992</v>
      </c>
      <c r="I451" s="16" t="s">
        <v>74</v>
      </c>
      <c r="J451" s="17" t="s">
        <v>2027</v>
      </c>
      <c r="K451" s="20"/>
    </row>
    <row r="452" ht="15.75" customHeight="1">
      <c r="A452" s="14" t="s">
        <v>97</v>
      </c>
      <c r="B452" s="15">
        <v>334.0</v>
      </c>
      <c r="C452" s="17" t="s">
        <v>1363</v>
      </c>
      <c r="D452" s="17" t="s">
        <v>2043</v>
      </c>
      <c r="E452" s="17" t="s">
        <v>1012</v>
      </c>
      <c r="F452" s="16" t="s">
        <v>68</v>
      </c>
      <c r="G452" s="16" t="s">
        <v>72</v>
      </c>
      <c r="H452" s="17" t="s">
        <v>1014</v>
      </c>
      <c r="I452" s="16" t="s">
        <v>74</v>
      </c>
      <c r="J452" s="17" t="s">
        <v>2027</v>
      </c>
      <c r="K452" s="20"/>
    </row>
    <row r="453" ht="15.75" customHeight="1">
      <c r="A453" s="14" t="s">
        <v>97</v>
      </c>
      <c r="B453" s="15">
        <v>335.0</v>
      </c>
      <c r="C453" s="17" t="s">
        <v>2045</v>
      </c>
      <c r="D453" s="17" t="s">
        <v>2046</v>
      </c>
      <c r="E453" s="17" t="s">
        <v>441</v>
      </c>
      <c r="F453" s="16" t="s">
        <v>68</v>
      </c>
      <c r="G453" s="16" t="s">
        <v>371</v>
      </c>
      <c r="H453" s="17" t="s">
        <v>1022</v>
      </c>
      <c r="I453" s="16" t="s">
        <v>74</v>
      </c>
      <c r="J453" s="17" t="s">
        <v>2027</v>
      </c>
      <c r="K453" s="20"/>
    </row>
    <row r="454" ht="15.75" customHeight="1">
      <c r="A454" s="14" t="s">
        <v>97</v>
      </c>
      <c r="B454" s="15">
        <v>336.0</v>
      </c>
      <c r="C454" s="17" t="s">
        <v>923</v>
      </c>
      <c r="D454" s="17" t="s">
        <v>2047</v>
      </c>
      <c r="E454" s="17" t="s">
        <v>386</v>
      </c>
      <c r="F454" s="16" t="s">
        <v>68</v>
      </c>
      <c r="G454" s="16" t="s">
        <v>371</v>
      </c>
      <c r="H454" s="17" t="s">
        <v>2049</v>
      </c>
      <c r="I454" s="16" t="s">
        <v>74</v>
      </c>
      <c r="J454" s="17" t="s">
        <v>1027</v>
      </c>
      <c r="K454" s="20"/>
    </row>
    <row r="455" ht="15.75" customHeight="1">
      <c r="A455" s="14" t="s">
        <v>97</v>
      </c>
      <c r="B455" s="15">
        <v>337.0</v>
      </c>
      <c r="C455" s="17" t="s">
        <v>1354</v>
      </c>
      <c r="D455" s="17" t="s">
        <v>1656</v>
      </c>
      <c r="E455" s="17" t="s">
        <v>392</v>
      </c>
      <c r="F455" s="16" t="s">
        <v>68</v>
      </c>
      <c r="G455" s="16" t="s">
        <v>371</v>
      </c>
      <c r="H455" s="17" t="s">
        <v>2049</v>
      </c>
      <c r="I455" s="16" t="s">
        <v>74</v>
      </c>
      <c r="J455" s="17" t="s">
        <v>1027</v>
      </c>
      <c r="K455" s="20"/>
    </row>
    <row r="456" ht="15.75" customHeight="1">
      <c r="A456" s="14" t="s">
        <v>97</v>
      </c>
      <c r="B456" s="15">
        <v>338.0</v>
      </c>
      <c r="C456" s="17" t="s">
        <v>2051</v>
      </c>
      <c r="D456" s="17" t="s">
        <v>1148</v>
      </c>
      <c r="E456" s="17" t="s">
        <v>1034</v>
      </c>
      <c r="F456" s="16" t="s">
        <v>181</v>
      </c>
      <c r="G456" s="16" t="s">
        <v>72</v>
      </c>
      <c r="H456" s="17" t="s">
        <v>2049</v>
      </c>
      <c r="I456" s="16" t="s">
        <v>74</v>
      </c>
      <c r="J456" s="17" t="s">
        <v>1027</v>
      </c>
      <c r="K456" s="20"/>
    </row>
    <row r="457" ht="15.75" customHeight="1">
      <c r="A457" s="14" t="s">
        <v>97</v>
      </c>
      <c r="B457" s="15">
        <v>339.0</v>
      </c>
      <c r="C457" s="17" t="s">
        <v>2053</v>
      </c>
      <c r="D457" s="17" t="s">
        <v>1472</v>
      </c>
      <c r="E457" s="17" t="s">
        <v>1037</v>
      </c>
      <c r="F457" s="16" t="s">
        <v>68</v>
      </c>
      <c r="G457" s="16" t="s">
        <v>72</v>
      </c>
      <c r="H457" s="17" t="s">
        <v>2049</v>
      </c>
      <c r="I457" s="16" t="s">
        <v>74</v>
      </c>
      <c r="J457" s="17" t="s">
        <v>1027</v>
      </c>
      <c r="K457" s="20"/>
    </row>
    <row r="458" ht="15.75" customHeight="1">
      <c r="A458" s="14" t="s">
        <v>97</v>
      </c>
      <c r="B458" s="15">
        <v>340.0</v>
      </c>
      <c r="C458" s="17" t="s">
        <v>1764</v>
      </c>
      <c r="D458" s="17" t="s">
        <v>2054</v>
      </c>
      <c r="E458" s="17" t="s">
        <v>386</v>
      </c>
      <c r="F458" s="16" t="s">
        <v>68</v>
      </c>
      <c r="G458" s="16" t="s">
        <v>371</v>
      </c>
      <c r="H458" s="17" t="s">
        <v>2055</v>
      </c>
      <c r="I458" s="16" t="s">
        <v>74</v>
      </c>
      <c r="J458" s="17" t="s">
        <v>1027</v>
      </c>
      <c r="K458" s="20"/>
    </row>
    <row r="459" ht="15.75" customHeight="1">
      <c r="A459" s="14" t="s">
        <v>97</v>
      </c>
      <c r="B459" s="15">
        <v>341.0</v>
      </c>
      <c r="C459" s="17" t="s">
        <v>1907</v>
      </c>
      <c r="D459" s="17" t="s">
        <v>2057</v>
      </c>
      <c r="E459" s="17" t="s">
        <v>392</v>
      </c>
      <c r="F459" s="16" t="s">
        <v>68</v>
      </c>
      <c r="G459" s="16" t="s">
        <v>371</v>
      </c>
      <c r="H459" s="17" t="s">
        <v>2055</v>
      </c>
      <c r="I459" s="16" t="s">
        <v>74</v>
      </c>
      <c r="J459" s="17" t="s">
        <v>1027</v>
      </c>
      <c r="K459" s="20"/>
    </row>
    <row r="460" ht="15.75" customHeight="1">
      <c r="A460" s="14" t="s">
        <v>97</v>
      </c>
      <c r="B460" s="15">
        <v>342.0</v>
      </c>
      <c r="C460" s="17" t="s">
        <v>2058</v>
      </c>
      <c r="D460" s="17" t="s">
        <v>1501</v>
      </c>
      <c r="E460" s="17" t="s">
        <v>1034</v>
      </c>
      <c r="F460" s="16" t="s">
        <v>181</v>
      </c>
      <c r="G460" s="16" t="s">
        <v>72</v>
      </c>
      <c r="H460" s="17" t="s">
        <v>2055</v>
      </c>
      <c r="I460" s="16" t="s">
        <v>74</v>
      </c>
      <c r="J460" s="17" t="s">
        <v>1027</v>
      </c>
      <c r="K460" s="20"/>
    </row>
    <row r="461" ht="15.75" customHeight="1">
      <c r="A461" s="14" t="s">
        <v>97</v>
      </c>
      <c r="B461" s="15">
        <v>343.0</v>
      </c>
      <c r="C461" s="17" t="s">
        <v>2060</v>
      </c>
      <c r="D461" s="17" t="s">
        <v>1472</v>
      </c>
      <c r="E461" s="17" t="s">
        <v>1037</v>
      </c>
      <c r="F461" s="16" t="s">
        <v>68</v>
      </c>
      <c r="G461" s="16" t="s">
        <v>72</v>
      </c>
      <c r="H461" s="17" t="s">
        <v>2055</v>
      </c>
      <c r="I461" s="16" t="s">
        <v>74</v>
      </c>
      <c r="J461" s="17" t="s">
        <v>1027</v>
      </c>
      <c r="K461" s="20"/>
    </row>
    <row r="462" ht="15.75" customHeight="1">
      <c r="A462" s="14" t="s">
        <v>97</v>
      </c>
      <c r="B462" s="15">
        <v>344.0</v>
      </c>
      <c r="C462" s="17" t="s">
        <v>1765</v>
      </c>
      <c r="D462" s="17" t="s">
        <v>2061</v>
      </c>
      <c r="E462" s="17" t="s">
        <v>386</v>
      </c>
      <c r="F462" s="16" t="s">
        <v>68</v>
      </c>
      <c r="G462" s="16" t="s">
        <v>371</v>
      </c>
      <c r="H462" s="17" t="s">
        <v>2062</v>
      </c>
      <c r="I462" s="16" t="s">
        <v>74</v>
      </c>
      <c r="J462" s="17" t="s">
        <v>1027</v>
      </c>
      <c r="K462" s="20"/>
    </row>
    <row r="463" ht="15.75" customHeight="1">
      <c r="A463" s="14" t="s">
        <v>97</v>
      </c>
      <c r="B463" s="15">
        <v>345.0</v>
      </c>
      <c r="C463" s="17" t="s">
        <v>1909</v>
      </c>
      <c r="D463" s="17" t="s">
        <v>2064</v>
      </c>
      <c r="E463" s="17" t="s">
        <v>392</v>
      </c>
      <c r="F463" s="16" t="s">
        <v>68</v>
      </c>
      <c r="G463" s="16" t="s">
        <v>371</v>
      </c>
      <c r="H463" s="17" t="s">
        <v>2062</v>
      </c>
      <c r="I463" s="16" t="s">
        <v>74</v>
      </c>
      <c r="J463" s="17" t="s">
        <v>1027</v>
      </c>
      <c r="K463" s="20"/>
    </row>
    <row r="464" ht="15.75" customHeight="1">
      <c r="A464" s="14" t="s">
        <v>97</v>
      </c>
      <c r="B464" s="15">
        <v>346.0</v>
      </c>
      <c r="C464" s="17" t="s">
        <v>2065</v>
      </c>
      <c r="D464" s="17" t="s">
        <v>1835</v>
      </c>
      <c r="E464" s="17" t="s">
        <v>1034</v>
      </c>
      <c r="F464" s="16" t="s">
        <v>181</v>
      </c>
      <c r="G464" s="16" t="s">
        <v>72</v>
      </c>
      <c r="H464" s="17" t="s">
        <v>2062</v>
      </c>
      <c r="I464" s="16" t="s">
        <v>74</v>
      </c>
      <c r="J464" s="17" t="s">
        <v>1027</v>
      </c>
      <c r="K464" s="20"/>
    </row>
    <row r="465" ht="15.75" customHeight="1">
      <c r="A465" s="14" t="s">
        <v>97</v>
      </c>
      <c r="B465" s="15">
        <v>347.0</v>
      </c>
      <c r="C465" s="17" t="s">
        <v>2067</v>
      </c>
      <c r="D465" s="17" t="s">
        <v>1472</v>
      </c>
      <c r="E465" s="17" t="s">
        <v>1037</v>
      </c>
      <c r="F465" s="16" t="s">
        <v>68</v>
      </c>
      <c r="G465" s="16" t="s">
        <v>72</v>
      </c>
      <c r="H465" s="17" t="s">
        <v>2062</v>
      </c>
      <c r="I465" s="16" t="s">
        <v>74</v>
      </c>
      <c r="J465" s="17" t="s">
        <v>1027</v>
      </c>
      <c r="K465" s="20"/>
    </row>
    <row r="466" ht="15.75" customHeight="1">
      <c r="A466" s="14" t="s">
        <v>97</v>
      </c>
      <c r="B466" s="15">
        <v>348.0</v>
      </c>
      <c r="C466" s="17" t="s">
        <v>1768</v>
      </c>
      <c r="D466" s="17" t="s">
        <v>2070</v>
      </c>
      <c r="E466" s="17" t="s">
        <v>386</v>
      </c>
      <c r="F466" s="16" t="s">
        <v>68</v>
      </c>
      <c r="G466" s="16" t="s">
        <v>371</v>
      </c>
      <c r="H466" s="17" t="s">
        <v>2071</v>
      </c>
      <c r="I466" s="16" t="s">
        <v>74</v>
      </c>
      <c r="J466" s="17" t="s">
        <v>1027</v>
      </c>
      <c r="K466" s="20"/>
    </row>
    <row r="467" ht="15.75" customHeight="1">
      <c r="A467" s="14" t="s">
        <v>97</v>
      </c>
      <c r="B467" s="15">
        <v>349.0</v>
      </c>
      <c r="C467" s="17" t="s">
        <v>2073</v>
      </c>
      <c r="D467" s="17" t="s">
        <v>1159</v>
      </c>
      <c r="E467" s="17" t="s">
        <v>392</v>
      </c>
      <c r="F467" s="16" t="s">
        <v>68</v>
      </c>
      <c r="G467" s="16" t="s">
        <v>371</v>
      </c>
      <c r="H467" s="17" t="s">
        <v>2071</v>
      </c>
      <c r="I467" s="16" t="s">
        <v>74</v>
      </c>
      <c r="J467" s="17" t="s">
        <v>1027</v>
      </c>
      <c r="K467" s="20"/>
    </row>
    <row r="468" ht="15.75" customHeight="1">
      <c r="A468" s="14" t="s">
        <v>97</v>
      </c>
      <c r="B468" s="15">
        <v>350.0</v>
      </c>
      <c r="C468" s="17" t="s">
        <v>2077</v>
      </c>
      <c r="D468" s="17" t="s">
        <v>1891</v>
      </c>
      <c r="E468" s="17" t="s">
        <v>1034</v>
      </c>
      <c r="F468" s="16" t="s">
        <v>181</v>
      </c>
      <c r="G468" s="16" t="s">
        <v>72</v>
      </c>
      <c r="H468" s="17" t="s">
        <v>2071</v>
      </c>
      <c r="I468" s="16" t="s">
        <v>74</v>
      </c>
      <c r="J468" s="17" t="s">
        <v>1027</v>
      </c>
      <c r="K468" s="20"/>
    </row>
    <row r="469" ht="15.75" customHeight="1">
      <c r="A469" s="14" t="s">
        <v>97</v>
      </c>
      <c r="B469" s="15">
        <v>351.0</v>
      </c>
      <c r="C469" s="17" t="s">
        <v>2080</v>
      </c>
      <c r="D469" s="17" t="s">
        <v>1203</v>
      </c>
      <c r="E469" s="17" t="s">
        <v>1037</v>
      </c>
      <c r="F469" s="16" t="s">
        <v>68</v>
      </c>
      <c r="G469" s="16" t="s">
        <v>72</v>
      </c>
      <c r="H469" s="17" t="s">
        <v>2071</v>
      </c>
      <c r="I469" s="16" t="s">
        <v>74</v>
      </c>
      <c r="J469" s="17" t="s">
        <v>1027</v>
      </c>
      <c r="K469" s="20"/>
    </row>
    <row r="470" ht="15.75" customHeight="1">
      <c r="A470" s="14" t="s">
        <v>97</v>
      </c>
      <c r="B470" s="15">
        <v>352.0</v>
      </c>
      <c r="C470" s="17" t="s">
        <v>1769</v>
      </c>
      <c r="D470" s="17" t="s">
        <v>2082</v>
      </c>
      <c r="E470" s="17" t="s">
        <v>386</v>
      </c>
      <c r="F470" s="16" t="s">
        <v>68</v>
      </c>
      <c r="G470" s="16" t="s">
        <v>371</v>
      </c>
      <c r="H470" s="17" t="s">
        <v>2084</v>
      </c>
      <c r="I470" s="16" t="s">
        <v>74</v>
      </c>
      <c r="J470" s="17" t="s">
        <v>1027</v>
      </c>
      <c r="K470" s="20"/>
    </row>
    <row r="471" ht="15.75" customHeight="1">
      <c r="A471" s="14" t="s">
        <v>97</v>
      </c>
      <c r="B471" s="15">
        <v>353.0</v>
      </c>
      <c r="C471" s="17" t="s">
        <v>2086</v>
      </c>
      <c r="D471" s="17" t="s">
        <v>1747</v>
      </c>
      <c r="E471" s="17" t="s">
        <v>392</v>
      </c>
      <c r="F471" s="16" t="s">
        <v>68</v>
      </c>
      <c r="G471" s="16" t="s">
        <v>371</v>
      </c>
      <c r="H471" s="17" t="s">
        <v>2084</v>
      </c>
      <c r="I471" s="16" t="s">
        <v>74</v>
      </c>
      <c r="J471" s="17" t="s">
        <v>1027</v>
      </c>
      <c r="K471" s="20"/>
    </row>
    <row r="472" ht="15.75" customHeight="1">
      <c r="A472" s="14" t="s">
        <v>97</v>
      </c>
      <c r="B472" s="15">
        <v>354.0</v>
      </c>
      <c r="C472" s="17" t="s">
        <v>2088</v>
      </c>
      <c r="D472" s="17" t="s">
        <v>1835</v>
      </c>
      <c r="E472" s="17" t="s">
        <v>1034</v>
      </c>
      <c r="F472" s="16" t="s">
        <v>181</v>
      </c>
      <c r="G472" s="16" t="s">
        <v>72</v>
      </c>
      <c r="H472" s="17" t="s">
        <v>2084</v>
      </c>
      <c r="I472" s="16" t="s">
        <v>74</v>
      </c>
      <c r="J472" s="17" t="s">
        <v>1027</v>
      </c>
      <c r="K472" s="20"/>
    </row>
    <row r="473" ht="15.75" customHeight="1">
      <c r="A473" s="14" t="s">
        <v>97</v>
      </c>
      <c r="B473" s="15">
        <v>355.0</v>
      </c>
      <c r="C473" s="17" t="s">
        <v>2091</v>
      </c>
      <c r="D473" s="17" t="s">
        <v>1203</v>
      </c>
      <c r="E473" s="17" t="s">
        <v>1037</v>
      </c>
      <c r="F473" s="16" t="s">
        <v>68</v>
      </c>
      <c r="G473" s="16" t="s">
        <v>72</v>
      </c>
      <c r="H473" s="17" t="s">
        <v>2084</v>
      </c>
      <c r="I473" s="16" t="s">
        <v>74</v>
      </c>
      <c r="J473" s="17" t="s">
        <v>1027</v>
      </c>
      <c r="K473" s="20"/>
    </row>
    <row r="474" ht="15.75" customHeight="1">
      <c r="A474" s="14" t="s">
        <v>97</v>
      </c>
      <c r="B474" s="15">
        <v>356.0</v>
      </c>
      <c r="C474" s="17" t="s">
        <v>1772</v>
      </c>
      <c r="D474" s="17" t="s">
        <v>2095</v>
      </c>
      <c r="E474" s="17" t="s">
        <v>386</v>
      </c>
      <c r="F474" s="16" t="s">
        <v>68</v>
      </c>
      <c r="G474" s="16" t="s">
        <v>371</v>
      </c>
      <c r="H474" s="17" t="s">
        <v>2097</v>
      </c>
      <c r="I474" s="16" t="s">
        <v>74</v>
      </c>
      <c r="J474" s="17" t="s">
        <v>1027</v>
      </c>
      <c r="K474" s="20"/>
    </row>
    <row r="475" ht="15.75" customHeight="1">
      <c r="A475" s="14" t="s">
        <v>97</v>
      </c>
      <c r="B475" s="15">
        <v>357.0</v>
      </c>
      <c r="C475" s="17" t="s">
        <v>2098</v>
      </c>
      <c r="D475" s="17" t="s">
        <v>1159</v>
      </c>
      <c r="E475" s="17" t="s">
        <v>392</v>
      </c>
      <c r="F475" s="16" t="s">
        <v>68</v>
      </c>
      <c r="G475" s="16" t="s">
        <v>371</v>
      </c>
      <c r="H475" s="17" t="s">
        <v>2097</v>
      </c>
      <c r="I475" s="16" t="s">
        <v>74</v>
      </c>
      <c r="J475" s="17" t="s">
        <v>1027</v>
      </c>
      <c r="K475" s="20"/>
    </row>
    <row r="476" ht="15.75" customHeight="1">
      <c r="A476" s="14" t="s">
        <v>97</v>
      </c>
      <c r="B476" s="15">
        <v>358.0</v>
      </c>
      <c r="C476" s="17" t="s">
        <v>2101</v>
      </c>
      <c r="D476" s="17" t="s">
        <v>1835</v>
      </c>
      <c r="E476" s="17" t="s">
        <v>1034</v>
      </c>
      <c r="F476" s="16" t="s">
        <v>181</v>
      </c>
      <c r="G476" s="16" t="s">
        <v>72</v>
      </c>
      <c r="H476" s="17" t="s">
        <v>2097</v>
      </c>
      <c r="I476" s="16" t="s">
        <v>74</v>
      </c>
      <c r="J476" s="17" t="s">
        <v>1027</v>
      </c>
      <c r="K476" s="20"/>
    </row>
    <row r="477" ht="15.75" customHeight="1">
      <c r="A477" s="14" t="s">
        <v>97</v>
      </c>
      <c r="B477" s="15">
        <v>359.0</v>
      </c>
      <c r="C477" s="17" t="s">
        <v>1775</v>
      </c>
      <c r="D477" s="17" t="s">
        <v>2104</v>
      </c>
      <c r="E477" s="17" t="s">
        <v>386</v>
      </c>
      <c r="F477" s="16" t="s">
        <v>68</v>
      </c>
      <c r="G477" s="16" t="s">
        <v>371</v>
      </c>
      <c r="H477" s="17" t="s">
        <v>2106</v>
      </c>
      <c r="I477" s="16" t="s">
        <v>74</v>
      </c>
      <c r="J477" s="17" t="s">
        <v>1027</v>
      </c>
      <c r="K477" s="20"/>
    </row>
    <row r="478" ht="15.75" customHeight="1">
      <c r="A478" s="14" t="s">
        <v>97</v>
      </c>
      <c r="B478" s="15">
        <v>360.0</v>
      </c>
      <c r="C478" s="17" t="s">
        <v>2107</v>
      </c>
      <c r="D478" s="17" t="s">
        <v>1747</v>
      </c>
      <c r="E478" s="17" t="s">
        <v>392</v>
      </c>
      <c r="F478" s="16" t="s">
        <v>68</v>
      </c>
      <c r="G478" s="16" t="s">
        <v>371</v>
      </c>
      <c r="H478" s="17" t="s">
        <v>2106</v>
      </c>
      <c r="I478" s="16" t="s">
        <v>74</v>
      </c>
      <c r="J478" s="17" t="s">
        <v>1027</v>
      </c>
      <c r="K478" s="20"/>
    </row>
    <row r="479" ht="15.75" customHeight="1">
      <c r="A479" s="14" t="s">
        <v>97</v>
      </c>
      <c r="B479" s="15">
        <v>361.0</v>
      </c>
      <c r="C479" s="17" t="s">
        <v>2110</v>
      </c>
      <c r="D479" s="17" t="s">
        <v>1148</v>
      </c>
      <c r="E479" s="17" t="s">
        <v>1034</v>
      </c>
      <c r="F479" s="16" t="s">
        <v>181</v>
      </c>
      <c r="G479" s="16" t="s">
        <v>72</v>
      </c>
      <c r="H479" s="17" t="s">
        <v>2106</v>
      </c>
      <c r="I479" s="16" t="s">
        <v>74</v>
      </c>
      <c r="J479" s="17" t="s">
        <v>1027</v>
      </c>
      <c r="K479" s="20"/>
    </row>
    <row r="480" ht="15.75" customHeight="1">
      <c r="A480" s="14" t="s">
        <v>97</v>
      </c>
      <c r="B480" s="15">
        <v>362.0</v>
      </c>
      <c r="C480" s="17" t="s">
        <v>2113</v>
      </c>
      <c r="D480" s="17" t="s">
        <v>2114</v>
      </c>
      <c r="E480" s="17" t="s">
        <v>386</v>
      </c>
      <c r="F480" s="16" t="s">
        <v>68</v>
      </c>
      <c r="G480" s="16" t="s">
        <v>371</v>
      </c>
      <c r="H480" s="17" t="s">
        <v>2115</v>
      </c>
      <c r="I480" s="16" t="s">
        <v>74</v>
      </c>
      <c r="J480" s="17" t="s">
        <v>1027</v>
      </c>
      <c r="K480" s="20"/>
    </row>
    <row r="481" ht="15.75" customHeight="1">
      <c r="A481" s="14" t="s">
        <v>97</v>
      </c>
      <c r="B481" s="15">
        <v>363.0</v>
      </c>
      <c r="C481" s="17" t="s">
        <v>2116</v>
      </c>
      <c r="D481" s="17" t="s">
        <v>1222</v>
      </c>
      <c r="E481" s="17" t="s">
        <v>392</v>
      </c>
      <c r="F481" s="16" t="s">
        <v>68</v>
      </c>
      <c r="G481" s="16" t="s">
        <v>371</v>
      </c>
      <c r="H481" s="17" t="s">
        <v>2115</v>
      </c>
      <c r="I481" s="16" t="s">
        <v>74</v>
      </c>
      <c r="J481" s="17" t="s">
        <v>1027</v>
      </c>
      <c r="K481" s="20"/>
    </row>
    <row r="482" ht="15.75" customHeight="1">
      <c r="A482" s="14" t="s">
        <v>97</v>
      </c>
      <c r="B482" s="15">
        <v>364.0</v>
      </c>
      <c r="C482" s="17" t="s">
        <v>2118</v>
      </c>
      <c r="D482" s="17" t="s">
        <v>1214</v>
      </c>
      <c r="E482" s="17" t="s">
        <v>1034</v>
      </c>
      <c r="F482" s="16" t="s">
        <v>181</v>
      </c>
      <c r="G482" s="16" t="s">
        <v>72</v>
      </c>
      <c r="H482" s="17" t="s">
        <v>2115</v>
      </c>
      <c r="I482" s="16" t="s">
        <v>74</v>
      </c>
      <c r="J482" s="17" t="s">
        <v>1027</v>
      </c>
      <c r="K482" s="20"/>
    </row>
    <row r="483" ht="15.75" customHeight="1">
      <c r="A483" s="14" t="s">
        <v>97</v>
      </c>
      <c r="B483" s="15">
        <v>365.0</v>
      </c>
      <c r="C483" s="17" t="s">
        <v>2120</v>
      </c>
      <c r="D483" s="17" t="s">
        <v>2121</v>
      </c>
      <c r="E483" s="17" t="s">
        <v>386</v>
      </c>
      <c r="F483" s="16" t="s">
        <v>68</v>
      </c>
      <c r="G483" s="16" t="s">
        <v>371</v>
      </c>
      <c r="H483" s="17" t="s">
        <v>2122</v>
      </c>
      <c r="I483" s="16" t="s">
        <v>74</v>
      </c>
      <c r="J483" s="17" t="s">
        <v>1027</v>
      </c>
      <c r="K483" s="20"/>
    </row>
    <row r="484" ht="15.75" customHeight="1">
      <c r="A484" s="14" t="s">
        <v>97</v>
      </c>
      <c r="B484" s="15">
        <v>366.0</v>
      </c>
      <c r="C484" s="17" t="s">
        <v>2124</v>
      </c>
      <c r="D484" s="17" t="s">
        <v>1222</v>
      </c>
      <c r="E484" s="17" t="s">
        <v>392</v>
      </c>
      <c r="F484" s="16" t="s">
        <v>68</v>
      </c>
      <c r="G484" s="16" t="s">
        <v>371</v>
      </c>
      <c r="H484" s="17" t="s">
        <v>2122</v>
      </c>
      <c r="I484" s="16" t="s">
        <v>74</v>
      </c>
      <c r="J484" s="17" t="s">
        <v>1027</v>
      </c>
      <c r="K484" s="20"/>
    </row>
    <row r="485" ht="15.75" customHeight="1">
      <c r="A485" s="14" t="s">
        <v>97</v>
      </c>
      <c r="B485" s="15">
        <v>367.0</v>
      </c>
      <c r="C485" s="17" t="s">
        <v>2126</v>
      </c>
      <c r="D485" s="17" t="s">
        <v>1214</v>
      </c>
      <c r="E485" s="17" t="s">
        <v>1034</v>
      </c>
      <c r="F485" s="16" t="s">
        <v>181</v>
      </c>
      <c r="G485" s="16" t="s">
        <v>72</v>
      </c>
      <c r="H485" s="17" t="s">
        <v>2122</v>
      </c>
      <c r="I485" s="16" t="s">
        <v>74</v>
      </c>
      <c r="J485" s="17" t="s">
        <v>1027</v>
      </c>
      <c r="K485" s="20"/>
    </row>
    <row r="486" ht="15.75" customHeight="1">
      <c r="A486" s="14" t="s">
        <v>97</v>
      </c>
      <c r="B486" s="15">
        <v>368.0</v>
      </c>
      <c r="C486" s="17" t="s">
        <v>2128</v>
      </c>
      <c r="D486" s="17" t="s">
        <v>2129</v>
      </c>
      <c r="E486" s="17" t="s">
        <v>386</v>
      </c>
      <c r="F486" s="16" t="s">
        <v>68</v>
      </c>
      <c r="G486" s="16" t="s">
        <v>371</v>
      </c>
      <c r="H486" s="17" t="s">
        <v>2131</v>
      </c>
      <c r="I486" s="16" t="s">
        <v>74</v>
      </c>
      <c r="J486" s="17" t="s">
        <v>1027</v>
      </c>
      <c r="K486" s="20"/>
    </row>
    <row r="487" ht="15.75" customHeight="1">
      <c r="A487" s="14" t="s">
        <v>97</v>
      </c>
      <c r="B487" s="15">
        <v>369.0</v>
      </c>
      <c r="C487" s="17" t="s">
        <v>2132</v>
      </c>
      <c r="D487" s="17" t="s">
        <v>1747</v>
      </c>
      <c r="E487" s="17" t="s">
        <v>392</v>
      </c>
      <c r="F487" s="16" t="s">
        <v>68</v>
      </c>
      <c r="G487" s="16" t="s">
        <v>371</v>
      </c>
      <c r="H487" s="17" t="s">
        <v>2131</v>
      </c>
      <c r="I487" s="16" t="s">
        <v>74</v>
      </c>
      <c r="J487" s="17" t="s">
        <v>1027</v>
      </c>
      <c r="K487" s="20"/>
    </row>
    <row r="488" ht="15.75" customHeight="1">
      <c r="A488" s="14" t="s">
        <v>97</v>
      </c>
      <c r="B488" s="15">
        <v>370.0</v>
      </c>
      <c r="C488" s="17" t="s">
        <v>2135</v>
      </c>
      <c r="D488" s="17" t="s">
        <v>1214</v>
      </c>
      <c r="E488" s="17" t="s">
        <v>1034</v>
      </c>
      <c r="F488" s="16" t="s">
        <v>181</v>
      </c>
      <c r="G488" s="16" t="s">
        <v>72</v>
      </c>
      <c r="H488" s="17" t="s">
        <v>2131</v>
      </c>
      <c r="I488" s="16" t="s">
        <v>74</v>
      </c>
      <c r="J488" s="17" t="s">
        <v>1027</v>
      </c>
      <c r="K488" s="20"/>
    </row>
    <row r="489" ht="15.75" customHeight="1">
      <c r="A489" s="14" t="s">
        <v>97</v>
      </c>
      <c r="B489" s="15">
        <v>371.0</v>
      </c>
      <c r="C489" s="17" t="s">
        <v>666</v>
      </c>
      <c r="D489" s="17" t="s">
        <v>2138</v>
      </c>
      <c r="E489" s="17" t="s">
        <v>441</v>
      </c>
      <c r="F489" s="16" t="s">
        <v>68</v>
      </c>
      <c r="G489" s="16" t="s">
        <v>371</v>
      </c>
      <c r="H489" s="17" t="s">
        <v>2139</v>
      </c>
      <c r="I489" s="16" t="s">
        <v>74</v>
      </c>
      <c r="J489" s="17" t="s">
        <v>1230</v>
      </c>
      <c r="K489" s="20"/>
    </row>
    <row r="490" ht="15.75" customHeight="1">
      <c r="A490" s="14" t="s">
        <v>97</v>
      </c>
      <c r="B490" s="15">
        <v>372.0</v>
      </c>
      <c r="C490" s="17" t="s">
        <v>672</v>
      </c>
      <c r="D490" s="17" t="s">
        <v>2142</v>
      </c>
      <c r="E490" s="17" t="s">
        <v>441</v>
      </c>
      <c r="F490" s="16" t="s">
        <v>68</v>
      </c>
      <c r="G490" s="16" t="s">
        <v>371</v>
      </c>
      <c r="H490" s="17" t="s">
        <v>2143</v>
      </c>
      <c r="I490" s="16" t="s">
        <v>74</v>
      </c>
      <c r="J490" s="17" t="s">
        <v>1230</v>
      </c>
      <c r="K490" s="20"/>
    </row>
    <row r="491" ht="15.75" customHeight="1">
      <c r="A491" s="14" t="s">
        <v>97</v>
      </c>
      <c r="B491" s="15">
        <v>373.0</v>
      </c>
      <c r="C491" s="17" t="s">
        <v>676</v>
      </c>
      <c r="D491" s="17" t="s">
        <v>2145</v>
      </c>
      <c r="E491" s="17" t="s">
        <v>441</v>
      </c>
      <c r="F491" s="16" t="s">
        <v>68</v>
      </c>
      <c r="G491" s="16" t="s">
        <v>371</v>
      </c>
      <c r="H491" s="17" t="s">
        <v>2146</v>
      </c>
      <c r="I491" s="16" t="s">
        <v>74</v>
      </c>
      <c r="J491" s="17" t="s">
        <v>1230</v>
      </c>
      <c r="K491" s="20"/>
    </row>
    <row r="492" ht="15.75" customHeight="1">
      <c r="A492" s="14" t="s">
        <v>97</v>
      </c>
      <c r="B492" s="15">
        <v>374.0</v>
      </c>
      <c r="C492" s="17" t="s">
        <v>2148</v>
      </c>
      <c r="D492" s="17" t="s">
        <v>2149</v>
      </c>
      <c r="E492" s="17" t="s">
        <v>441</v>
      </c>
      <c r="F492" s="16" t="s">
        <v>68</v>
      </c>
      <c r="G492" s="16" t="s">
        <v>371</v>
      </c>
      <c r="H492" s="17" t="s">
        <v>2151</v>
      </c>
      <c r="I492" s="16" t="s">
        <v>74</v>
      </c>
      <c r="J492" s="17" t="s">
        <v>1230</v>
      </c>
      <c r="K492" s="20"/>
    </row>
    <row r="493" ht="15.75" customHeight="1">
      <c r="A493" s="14" t="s">
        <v>97</v>
      </c>
      <c r="B493" s="15">
        <v>375.0</v>
      </c>
      <c r="C493" s="17" t="s">
        <v>407</v>
      </c>
      <c r="D493" s="17" t="s">
        <v>2153</v>
      </c>
      <c r="E493" s="17" t="s">
        <v>369</v>
      </c>
      <c r="F493" s="16" t="s">
        <v>68</v>
      </c>
      <c r="G493" s="16" t="s">
        <v>371</v>
      </c>
      <c r="H493" s="17" t="s">
        <v>949</v>
      </c>
      <c r="I493" s="16" t="s">
        <v>74</v>
      </c>
      <c r="J493" s="17" t="s">
        <v>2154</v>
      </c>
      <c r="K493" s="20"/>
    </row>
    <row r="494" ht="15.75" customHeight="1">
      <c r="A494" s="14" t="s">
        <v>97</v>
      </c>
      <c r="B494" s="15">
        <v>376.0</v>
      </c>
      <c r="C494" s="17" t="s">
        <v>1370</v>
      </c>
      <c r="D494" s="17" t="s">
        <v>2156</v>
      </c>
      <c r="E494" s="17" t="s">
        <v>956</v>
      </c>
      <c r="F494" s="16" t="s">
        <v>68</v>
      </c>
      <c r="G494" s="16" t="s">
        <v>864</v>
      </c>
      <c r="H494" s="17" t="s">
        <v>959</v>
      </c>
      <c r="I494" s="16" t="s">
        <v>74</v>
      </c>
      <c r="J494" s="17" t="s">
        <v>2154</v>
      </c>
      <c r="K494" s="20"/>
    </row>
    <row r="495" ht="15.75" customHeight="1">
      <c r="A495" s="14" t="s">
        <v>97</v>
      </c>
      <c r="B495" s="15">
        <v>377.0</v>
      </c>
      <c r="C495" s="17" t="s">
        <v>1365</v>
      </c>
      <c r="D495" s="17" t="s">
        <v>2159</v>
      </c>
      <c r="E495" s="17" t="s">
        <v>967</v>
      </c>
      <c r="F495" s="16" t="s">
        <v>68</v>
      </c>
      <c r="G495" s="16" t="s">
        <v>970</v>
      </c>
      <c r="H495" s="17" t="s">
        <v>972</v>
      </c>
      <c r="I495" s="16" t="s">
        <v>74</v>
      </c>
      <c r="J495" s="17" t="s">
        <v>2154</v>
      </c>
      <c r="K495" s="20"/>
    </row>
    <row r="496" ht="15.75" customHeight="1">
      <c r="A496" s="14" t="s">
        <v>97</v>
      </c>
      <c r="B496" s="15">
        <v>378.0</v>
      </c>
      <c r="C496" s="17" t="s">
        <v>2160</v>
      </c>
      <c r="D496" s="17" t="s">
        <v>1884</v>
      </c>
      <c r="E496" s="17" t="s">
        <v>979</v>
      </c>
      <c r="F496" s="16" t="s">
        <v>68</v>
      </c>
      <c r="G496" s="16" t="s">
        <v>864</v>
      </c>
      <c r="H496" s="17" t="s">
        <v>983</v>
      </c>
      <c r="I496" s="16" t="s">
        <v>74</v>
      </c>
      <c r="J496" s="17" t="s">
        <v>2154</v>
      </c>
      <c r="K496" s="20"/>
    </row>
    <row r="497" ht="15.75" customHeight="1">
      <c r="A497" s="14" t="s">
        <v>97</v>
      </c>
      <c r="B497" s="15">
        <v>379.0</v>
      </c>
      <c r="C497" s="17" t="s">
        <v>2163</v>
      </c>
      <c r="D497" s="17" t="s">
        <v>930</v>
      </c>
      <c r="E497" s="17" t="s">
        <v>990</v>
      </c>
      <c r="F497" s="16" t="s">
        <v>357</v>
      </c>
      <c r="G497" s="16" t="s">
        <v>864</v>
      </c>
      <c r="H497" s="17" t="s">
        <v>992</v>
      </c>
      <c r="I497" s="16" t="s">
        <v>74</v>
      </c>
      <c r="J497" s="17" t="s">
        <v>2154</v>
      </c>
      <c r="K497" s="20"/>
    </row>
    <row r="498" ht="15.75" customHeight="1">
      <c r="A498" s="14" t="s">
        <v>97</v>
      </c>
      <c r="B498" s="15">
        <v>380.0</v>
      </c>
      <c r="C498" s="17" t="s">
        <v>2165</v>
      </c>
      <c r="D498" s="17" t="s">
        <v>75</v>
      </c>
      <c r="E498" s="17" t="s">
        <v>1001</v>
      </c>
      <c r="F498" s="16" t="s">
        <v>357</v>
      </c>
      <c r="G498" s="16" t="s">
        <v>864</v>
      </c>
      <c r="H498" s="17" t="s">
        <v>992</v>
      </c>
      <c r="I498" s="16" t="s">
        <v>74</v>
      </c>
      <c r="J498" s="17" t="s">
        <v>2154</v>
      </c>
      <c r="K498" s="20"/>
    </row>
    <row r="499" ht="15.75" customHeight="1">
      <c r="A499" s="14" t="s">
        <v>97</v>
      </c>
      <c r="B499" s="15">
        <v>381.0</v>
      </c>
      <c r="C499" s="17" t="s">
        <v>1373</v>
      </c>
      <c r="D499" s="17" t="s">
        <v>2168</v>
      </c>
      <c r="E499" s="17" t="s">
        <v>1012</v>
      </c>
      <c r="F499" s="16" t="s">
        <v>68</v>
      </c>
      <c r="G499" s="16" t="s">
        <v>72</v>
      </c>
      <c r="H499" s="17" t="s">
        <v>1014</v>
      </c>
      <c r="I499" s="16" t="s">
        <v>74</v>
      </c>
      <c r="J499" s="17" t="s">
        <v>2154</v>
      </c>
      <c r="K499" s="20"/>
    </row>
    <row r="500" ht="15.75" customHeight="1">
      <c r="A500" s="14" t="s">
        <v>97</v>
      </c>
      <c r="B500" s="15">
        <v>382.0</v>
      </c>
      <c r="C500" s="17" t="s">
        <v>927</v>
      </c>
      <c r="D500" s="17" t="s">
        <v>2170</v>
      </c>
      <c r="E500" s="17" t="s">
        <v>386</v>
      </c>
      <c r="F500" s="16" t="s">
        <v>68</v>
      </c>
      <c r="G500" s="16" t="s">
        <v>371</v>
      </c>
      <c r="H500" s="17" t="s">
        <v>2171</v>
      </c>
      <c r="I500" s="16" t="s">
        <v>74</v>
      </c>
      <c r="J500" s="17" t="s">
        <v>1027</v>
      </c>
      <c r="K500" s="20"/>
    </row>
    <row r="501" ht="15.75" customHeight="1">
      <c r="A501" s="14" t="s">
        <v>97</v>
      </c>
      <c r="B501" s="15">
        <v>383.0</v>
      </c>
      <c r="C501" s="17" t="s">
        <v>1368</v>
      </c>
      <c r="D501" s="17" t="s">
        <v>1811</v>
      </c>
      <c r="E501" s="17" t="s">
        <v>392</v>
      </c>
      <c r="F501" s="16" t="s">
        <v>68</v>
      </c>
      <c r="G501" s="16" t="s">
        <v>371</v>
      </c>
      <c r="H501" s="17" t="s">
        <v>2171</v>
      </c>
      <c r="I501" s="16" t="s">
        <v>74</v>
      </c>
      <c r="J501" s="17" t="s">
        <v>1027</v>
      </c>
      <c r="K501" s="20"/>
    </row>
    <row r="502" ht="15.75" customHeight="1">
      <c r="A502" s="14" t="s">
        <v>97</v>
      </c>
      <c r="B502" s="15">
        <v>384.0</v>
      </c>
      <c r="C502" s="17" t="s">
        <v>2174</v>
      </c>
      <c r="D502" s="17" t="s">
        <v>1148</v>
      </c>
      <c r="E502" s="17" t="s">
        <v>1034</v>
      </c>
      <c r="F502" s="16" t="s">
        <v>181</v>
      </c>
      <c r="G502" s="16" t="s">
        <v>72</v>
      </c>
      <c r="H502" s="17" t="s">
        <v>2171</v>
      </c>
      <c r="I502" s="16" t="s">
        <v>74</v>
      </c>
      <c r="J502" s="17" t="s">
        <v>1027</v>
      </c>
      <c r="K502" s="20"/>
    </row>
    <row r="503" ht="15.75" customHeight="1">
      <c r="A503" s="14" t="s">
        <v>97</v>
      </c>
      <c r="B503" s="15">
        <v>385.0</v>
      </c>
      <c r="C503" s="17" t="s">
        <v>2176</v>
      </c>
      <c r="D503" s="17" t="s">
        <v>1472</v>
      </c>
      <c r="E503" s="17" t="s">
        <v>1037</v>
      </c>
      <c r="F503" s="16" t="s">
        <v>68</v>
      </c>
      <c r="G503" s="16" t="s">
        <v>72</v>
      </c>
      <c r="H503" s="17" t="s">
        <v>2171</v>
      </c>
      <c r="I503" s="16" t="s">
        <v>74</v>
      </c>
      <c r="J503" s="17" t="s">
        <v>1027</v>
      </c>
      <c r="K503" s="20"/>
    </row>
    <row r="504" ht="15.75" customHeight="1">
      <c r="A504" s="14" t="s">
        <v>97</v>
      </c>
      <c r="B504" s="15">
        <v>386.0</v>
      </c>
      <c r="C504" s="17" t="s">
        <v>1782</v>
      </c>
      <c r="D504" s="17" t="s">
        <v>2177</v>
      </c>
      <c r="E504" s="17" t="s">
        <v>386</v>
      </c>
      <c r="F504" s="16" t="s">
        <v>68</v>
      </c>
      <c r="G504" s="16" t="s">
        <v>371</v>
      </c>
      <c r="H504" s="17" t="s">
        <v>2178</v>
      </c>
      <c r="I504" s="16" t="s">
        <v>74</v>
      </c>
      <c r="J504" s="17" t="s">
        <v>1027</v>
      </c>
      <c r="K504" s="20"/>
    </row>
    <row r="505" ht="15.75" customHeight="1">
      <c r="A505" s="14" t="s">
        <v>97</v>
      </c>
      <c r="B505" s="15">
        <v>387.0</v>
      </c>
      <c r="C505" s="17" t="s">
        <v>1913</v>
      </c>
      <c r="D505" s="17" t="s">
        <v>2180</v>
      </c>
      <c r="E505" s="17" t="s">
        <v>392</v>
      </c>
      <c r="F505" s="16" t="s">
        <v>68</v>
      </c>
      <c r="G505" s="16" t="s">
        <v>371</v>
      </c>
      <c r="H505" s="17" t="s">
        <v>2178</v>
      </c>
      <c r="I505" s="16" t="s">
        <v>74</v>
      </c>
      <c r="J505" s="17" t="s">
        <v>1027</v>
      </c>
      <c r="K505" s="20"/>
    </row>
    <row r="506" ht="15.75" customHeight="1">
      <c r="A506" s="14" t="s">
        <v>97</v>
      </c>
      <c r="B506" s="15">
        <v>388.0</v>
      </c>
      <c r="C506" s="17" t="s">
        <v>2182</v>
      </c>
      <c r="D506" s="17" t="s">
        <v>1501</v>
      </c>
      <c r="E506" s="17" t="s">
        <v>1034</v>
      </c>
      <c r="F506" s="16" t="s">
        <v>181</v>
      </c>
      <c r="G506" s="16" t="s">
        <v>72</v>
      </c>
      <c r="H506" s="17" t="s">
        <v>2178</v>
      </c>
      <c r="I506" s="16" t="s">
        <v>74</v>
      </c>
      <c r="J506" s="17" t="s">
        <v>1027</v>
      </c>
      <c r="K506" s="20"/>
    </row>
    <row r="507" ht="15.75" customHeight="1">
      <c r="A507" s="14" t="s">
        <v>97</v>
      </c>
      <c r="B507" s="15">
        <v>389.0</v>
      </c>
      <c r="C507" s="17" t="s">
        <v>2185</v>
      </c>
      <c r="D507" s="17" t="s">
        <v>2186</v>
      </c>
      <c r="E507" s="17" t="s">
        <v>1037</v>
      </c>
      <c r="F507" s="16" t="s">
        <v>68</v>
      </c>
      <c r="G507" s="16" t="s">
        <v>72</v>
      </c>
      <c r="H507" s="17" t="s">
        <v>2178</v>
      </c>
      <c r="I507" s="16" t="s">
        <v>74</v>
      </c>
      <c r="J507" s="17" t="s">
        <v>1027</v>
      </c>
      <c r="K507" s="20"/>
    </row>
    <row r="508" ht="15.75" customHeight="1">
      <c r="A508" s="14" t="s">
        <v>97</v>
      </c>
      <c r="B508" s="15">
        <v>390.0</v>
      </c>
      <c r="C508" s="17" t="s">
        <v>1785</v>
      </c>
      <c r="D508" s="17" t="s">
        <v>2189</v>
      </c>
      <c r="E508" s="17" t="s">
        <v>386</v>
      </c>
      <c r="F508" s="16" t="s">
        <v>68</v>
      </c>
      <c r="G508" s="16" t="s">
        <v>371</v>
      </c>
      <c r="H508" s="17" t="s">
        <v>2190</v>
      </c>
      <c r="I508" s="16" t="s">
        <v>74</v>
      </c>
      <c r="J508" s="17" t="s">
        <v>1027</v>
      </c>
      <c r="K508" s="20"/>
    </row>
    <row r="509" ht="15.75" customHeight="1">
      <c r="A509" s="14" t="s">
        <v>97</v>
      </c>
      <c r="B509" s="15">
        <v>391.0</v>
      </c>
      <c r="C509" s="17" t="s">
        <v>1914</v>
      </c>
      <c r="D509" s="17" t="s">
        <v>1733</v>
      </c>
      <c r="E509" s="17" t="s">
        <v>392</v>
      </c>
      <c r="F509" s="16" t="s">
        <v>68</v>
      </c>
      <c r="G509" s="16" t="s">
        <v>371</v>
      </c>
      <c r="H509" s="17" t="s">
        <v>2190</v>
      </c>
      <c r="I509" s="16" t="s">
        <v>74</v>
      </c>
      <c r="J509" s="17" t="s">
        <v>1027</v>
      </c>
      <c r="K509" s="20"/>
    </row>
    <row r="510" ht="15.75" customHeight="1">
      <c r="A510" s="14" t="s">
        <v>97</v>
      </c>
      <c r="B510" s="15">
        <v>392.0</v>
      </c>
      <c r="C510" s="17" t="s">
        <v>2194</v>
      </c>
      <c r="D510" s="17" t="s">
        <v>1214</v>
      </c>
      <c r="E510" s="17" t="s">
        <v>1034</v>
      </c>
      <c r="F510" s="16" t="s">
        <v>181</v>
      </c>
      <c r="G510" s="16" t="s">
        <v>72</v>
      </c>
      <c r="H510" s="17" t="s">
        <v>2190</v>
      </c>
      <c r="I510" s="16" t="s">
        <v>74</v>
      </c>
      <c r="J510" s="17" t="s">
        <v>1027</v>
      </c>
      <c r="K510" s="20"/>
    </row>
    <row r="511" ht="15.75" customHeight="1">
      <c r="A511" s="14" t="s">
        <v>97</v>
      </c>
      <c r="B511" s="15">
        <v>393.0</v>
      </c>
      <c r="C511" s="17" t="s">
        <v>2196</v>
      </c>
      <c r="D511" s="17" t="s">
        <v>2186</v>
      </c>
      <c r="E511" s="17" t="s">
        <v>1037</v>
      </c>
      <c r="F511" s="16" t="s">
        <v>68</v>
      </c>
      <c r="G511" s="16" t="s">
        <v>72</v>
      </c>
      <c r="H511" s="17" t="s">
        <v>2190</v>
      </c>
      <c r="I511" s="16" t="s">
        <v>74</v>
      </c>
      <c r="J511" s="17" t="s">
        <v>1027</v>
      </c>
      <c r="K511" s="20"/>
    </row>
    <row r="512" ht="15.75" customHeight="1">
      <c r="A512" s="14" t="s">
        <v>97</v>
      </c>
      <c r="B512" s="15">
        <v>394.0</v>
      </c>
      <c r="C512" s="17" t="s">
        <v>2197</v>
      </c>
      <c r="D512" s="17" t="s">
        <v>2198</v>
      </c>
      <c r="E512" s="17" t="s">
        <v>386</v>
      </c>
      <c r="F512" s="16" t="s">
        <v>68</v>
      </c>
      <c r="G512" s="16" t="s">
        <v>371</v>
      </c>
      <c r="H512" s="17" t="s">
        <v>2200</v>
      </c>
      <c r="I512" s="16" t="s">
        <v>74</v>
      </c>
      <c r="J512" s="17" t="s">
        <v>1027</v>
      </c>
      <c r="K512" s="20"/>
    </row>
    <row r="513" ht="15.75" customHeight="1">
      <c r="A513" s="14" t="s">
        <v>97</v>
      </c>
      <c r="B513" s="15">
        <v>395.0</v>
      </c>
      <c r="C513" s="17" t="s">
        <v>2202</v>
      </c>
      <c r="D513" s="17" t="s">
        <v>1747</v>
      </c>
      <c r="E513" s="17" t="s">
        <v>392</v>
      </c>
      <c r="F513" s="16" t="s">
        <v>68</v>
      </c>
      <c r="G513" s="16" t="s">
        <v>371</v>
      </c>
      <c r="H513" s="17" t="s">
        <v>2200</v>
      </c>
      <c r="I513" s="16" t="s">
        <v>74</v>
      </c>
      <c r="J513" s="17" t="s">
        <v>1027</v>
      </c>
      <c r="K513" s="20"/>
    </row>
    <row r="514" ht="15.75" customHeight="1">
      <c r="A514" s="14" t="s">
        <v>97</v>
      </c>
      <c r="B514" s="15">
        <v>396.0</v>
      </c>
      <c r="C514" s="17" t="s">
        <v>2205</v>
      </c>
      <c r="D514" s="17" t="s">
        <v>1214</v>
      </c>
      <c r="E514" s="17" t="s">
        <v>1034</v>
      </c>
      <c r="F514" s="16" t="s">
        <v>181</v>
      </c>
      <c r="G514" s="16" t="s">
        <v>72</v>
      </c>
      <c r="H514" s="17" t="s">
        <v>2200</v>
      </c>
      <c r="I514" s="16" t="s">
        <v>74</v>
      </c>
      <c r="J514" s="17" t="s">
        <v>1027</v>
      </c>
      <c r="K514" s="20"/>
    </row>
    <row r="515" ht="15.75" customHeight="1">
      <c r="A515" s="14" t="s">
        <v>97</v>
      </c>
      <c r="B515" s="15">
        <v>397.0</v>
      </c>
      <c r="C515" s="17" t="s">
        <v>2207</v>
      </c>
      <c r="D515" s="17" t="s">
        <v>2208</v>
      </c>
      <c r="E515" s="17" t="s">
        <v>386</v>
      </c>
      <c r="F515" s="16" t="s">
        <v>68</v>
      </c>
      <c r="G515" s="16" t="s">
        <v>371</v>
      </c>
      <c r="H515" s="17" t="s">
        <v>2210</v>
      </c>
      <c r="I515" s="16" t="s">
        <v>74</v>
      </c>
      <c r="J515" s="17" t="s">
        <v>1027</v>
      </c>
      <c r="K515" s="20"/>
    </row>
    <row r="516" ht="15.75" customHeight="1">
      <c r="A516" s="14" t="s">
        <v>97</v>
      </c>
      <c r="B516" s="15">
        <v>398.0</v>
      </c>
      <c r="C516" s="17" t="s">
        <v>2212</v>
      </c>
      <c r="D516" s="17" t="s">
        <v>1747</v>
      </c>
      <c r="E516" s="17" t="s">
        <v>392</v>
      </c>
      <c r="F516" s="16" t="s">
        <v>68</v>
      </c>
      <c r="G516" s="16" t="s">
        <v>371</v>
      </c>
      <c r="H516" s="17" t="s">
        <v>2210</v>
      </c>
      <c r="I516" s="16" t="s">
        <v>74</v>
      </c>
      <c r="J516" s="17" t="s">
        <v>1027</v>
      </c>
      <c r="K516" s="20"/>
    </row>
    <row r="517" ht="15.75" customHeight="1">
      <c r="A517" s="14" t="s">
        <v>97</v>
      </c>
      <c r="B517" s="15">
        <v>399.0</v>
      </c>
      <c r="C517" s="17" t="s">
        <v>2214</v>
      </c>
      <c r="D517" s="17" t="s">
        <v>1214</v>
      </c>
      <c r="E517" s="17" t="s">
        <v>1034</v>
      </c>
      <c r="F517" s="16" t="s">
        <v>181</v>
      </c>
      <c r="G517" s="16" t="s">
        <v>72</v>
      </c>
      <c r="H517" s="17" t="s">
        <v>2210</v>
      </c>
      <c r="I517" s="16" t="s">
        <v>74</v>
      </c>
      <c r="J517" s="17" t="s">
        <v>1027</v>
      </c>
      <c r="K517" s="20"/>
    </row>
    <row r="518" ht="15.75" customHeight="1">
      <c r="A518" s="14" t="s">
        <v>97</v>
      </c>
      <c r="B518" s="15">
        <v>400.0</v>
      </c>
      <c r="C518" s="17" t="s">
        <v>682</v>
      </c>
      <c r="D518" s="17" t="s">
        <v>2216</v>
      </c>
      <c r="E518" s="17" t="s">
        <v>441</v>
      </c>
      <c r="F518" s="16" t="s">
        <v>68</v>
      </c>
      <c r="G518" s="16" t="s">
        <v>371</v>
      </c>
      <c r="H518" s="17" t="s">
        <v>2217</v>
      </c>
      <c r="I518" s="16" t="s">
        <v>74</v>
      </c>
      <c r="J518" s="17" t="s">
        <v>1230</v>
      </c>
      <c r="K518" s="20"/>
    </row>
    <row r="519" ht="15.75" customHeight="1">
      <c r="A519" s="14" t="s">
        <v>97</v>
      </c>
      <c r="B519" s="15">
        <v>401.0</v>
      </c>
      <c r="C519" s="17" t="s">
        <v>2218</v>
      </c>
      <c r="D519" s="17" t="s">
        <v>2219</v>
      </c>
      <c r="E519" s="17" t="s">
        <v>441</v>
      </c>
      <c r="F519" s="16" t="s">
        <v>68</v>
      </c>
      <c r="G519" s="16" t="s">
        <v>371</v>
      </c>
      <c r="H519" s="17" t="s">
        <v>2221</v>
      </c>
      <c r="I519" s="16" t="s">
        <v>74</v>
      </c>
      <c r="J519" s="17" t="s">
        <v>1230</v>
      </c>
      <c r="K519" s="20"/>
    </row>
    <row r="520" ht="15.75" customHeight="1">
      <c r="A520" s="14" t="s">
        <v>97</v>
      </c>
      <c r="B520" s="15">
        <v>402.0</v>
      </c>
      <c r="C520" s="17" t="s">
        <v>2223</v>
      </c>
      <c r="D520" s="17" t="s">
        <v>2224</v>
      </c>
      <c r="E520" s="17" t="s">
        <v>441</v>
      </c>
      <c r="F520" s="16" t="s">
        <v>68</v>
      </c>
      <c r="G520" s="16" t="s">
        <v>371</v>
      </c>
      <c r="H520" s="17" t="s">
        <v>2225</v>
      </c>
      <c r="I520" s="16" t="s">
        <v>74</v>
      </c>
      <c r="J520" s="17" t="s">
        <v>1230</v>
      </c>
      <c r="K520" s="20"/>
    </row>
    <row r="521" ht="15.75" customHeight="1">
      <c r="A521" s="14" t="s">
        <v>97</v>
      </c>
      <c r="B521" s="15">
        <v>403.0</v>
      </c>
      <c r="C521" s="17" t="s">
        <v>2227</v>
      </c>
      <c r="D521" s="17" t="s">
        <v>2229</v>
      </c>
      <c r="E521" s="17" t="s">
        <v>441</v>
      </c>
      <c r="F521" s="16" t="s">
        <v>68</v>
      </c>
      <c r="G521" s="16" t="s">
        <v>371</v>
      </c>
      <c r="H521" s="17" t="s">
        <v>2230</v>
      </c>
      <c r="I521" s="16" t="s">
        <v>74</v>
      </c>
      <c r="J521" s="17" t="s">
        <v>1230</v>
      </c>
      <c r="K521" s="20"/>
    </row>
    <row r="522" ht="15.75" customHeight="1">
      <c r="A522" s="14" t="s">
        <v>97</v>
      </c>
      <c r="B522" s="15">
        <v>404.0</v>
      </c>
      <c r="C522" s="17" t="s">
        <v>409</v>
      </c>
      <c r="D522" s="17" t="s">
        <v>2232</v>
      </c>
      <c r="E522" s="17" t="s">
        <v>369</v>
      </c>
      <c r="F522" s="16" t="s">
        <v>68</v>
      </c>
      <c r="G522" s="16" t="s">
        <v>371</v>
      </c>
      <c r="H522" s="17" t="s">
        <v>949</v>
      </c>
      <c r="I522" s="16" t="s">
        <v>74</v>
      </c>
      <c r="J522" s="17" t="s">
        <v>2234</v>
      </c>
      <c r="K522" s="20"/>
    </row>
    <row r="523" ht="15.75" customHeight="1">
      <c r="A523" s="14" t="s">
        <v>97</v>
      </c>
      <c r="B523" s="15">
        <v>405.0</v>
      </c>
      <c r="C523" s="17" t="s">
        <v>1379</v>
      </c>
      <c r="D523" s="17" t="s">
        <v>2156</v>
      </c>
      <c r="E523" s="17" t="s">
        <v>956</v>
      </c>
      <c r="F523" s="16" t="s">
        <v>68</v>
      </c>
      <c r="G523" s="16" t="s">
        <v>864</v>
      </c>
      <c r="H523" s="17" t="s">
        <v>959</v>
      </c>
      <c r="I523" s="16" t="s">
        <v>74</v>
      </c>
      <c r="J523" s="17" t="s">
        <v>2234</v>
      </c>
      <c r="K523" s="20"/>
    </row>
    <row r="524" ht="15.75" customHeight="1">
      <c r="A524" s="14" t="s">
        <v>97</v>
      </c>
      <c r="B524" s="15">
        <v>406.0</v>
      </c>
      <c r="C524" s="17" t="s">
        <v>2237</v>
      </c>
      <c r="D524" s="17" t="s">
        <v>1884</v>
      </c>
      <c r="E524" s="17" t="s">
        <v>979</v>
      </c>
      <c r="F524" s="16" t="s">
        <v>68</v>
      </c>
      <c r="G524" s="16" t="s">
        <v>864</v>
      </c>
      <c r="H524" s="17" t="s">
        <v>983</v>
      </c>
      <c r="I524" s="16" t="s">
        <v>74</v>
      </c>
      <c r="J524" s="17" t="s">
        <v>2234</v>
      </c>
      <c r="K524" s="20"/>
    </row>
    <row r="525" ht="15.75" customHeight="1">
      <c r="A525" s="14" t="s">
        <v>97</v>
      </c>
      <c r="B525" s="15">
        <v>407.0</v>
      </c>
      <c r="C525" s="17" t="s">
        <v>2239</v>
      </c>
      <c r="D525" s="17" t="s">
        <v>930</v>
      </c>
      <c r="E525" s="17" t="s">
        <v>990</v>
      </c>
      <c r="F525" s="16" t="s">
        <v>357</v>
      </c>
      <c r="G525" s="16" t="s">
        <v>864</v>
      </c>
      <c r="H525" s="17" t="s">
        <v>992</v>
      </c>
      <c r="I525" s="16" t="s">
        <v>74</v>
      </c>
      <c r="J525" s="17" t="s">
        <v>2234</v>
      </c>
      <c r="K525" s="20"/>
    </row>
    <row r="526" ht="15.75" customHeight="1">
      <c r="A526" s="14" t="s">
        <v>97</v>
      </c>
      <c r="B526" s="15">
        <v>408.0</v>
      </c>
      <c r="C526" s="17" t="s">
        <v>2240</v>
      </c>
      <c r="D526" s="17" t="s">
        <v>75</v>
      </c>
      <c r="E526" s="17" t="s">
        <v>1001</v>
      </c>
      <c r="F526" s="16" t="s">
        <v>357</v>
      </c>
      <c r="G526" s="16" t="s">
        <v>864</v>
      </c>
      <c r="H526" s="17" t="s">
        <v>992</v>
      </c>
      <c r="I526" s="16" t="s">
        <v>74</v>
      </c>
      <c r="J526" s="17" t="s">
        <v>2234</v>
      </c>
      <c r="K526" s="20"/>
    </row>
    <row r="527" ht="15.75" customHeight="1">
      <c r="A527" s="14" t="s">
        <v>97</v>
      </c>
      <c r="B527" s="15">
        <v>409.0</v>
      </c>
      <c r="C527" s="17" t="s">
        <v>2242</v>
      </c>
      <c r="D527" s="17" t="s">
        <v>1959</v>
      </c>
      <c r="E527" s="17" t="s">
        <v>1012</v>
      </c>
      <c r="F527" s="16" t="s">
        <v>68</v>
      </c>
      <c r="G527" s="16" t="s">
        <v>72</v>
      </c>
      <c r="H527" s="17" t="s">
        <v>1014</v>
      </c>
      <c r="I527" s="16" t="s">
        <v>74</v>
      </c>
      <c r="J527" s="17" t="s">
        <v>2234</v>
      </c>
      <c r="K527" s="20"/>
    </row>
    <row r="528" ht="15.75" customHeight="1">
      <c r="A528" s="14" t="s">
        <v>97</v>
      </c>
      <c r="B528" s="15">
        <v>410.0</v>
      </c>
      <c r="C528" s="17" t="s">
        <v>2243</v>
      </c>
      <c r="D528" s="17" t="s">
        <v>2244</v>
      </c>
      <c r="E528" s="17" t="s">
        <v>386</v>
      </c>
      <c r="F528" s="16" t="s">
        <v>68</v>
      </c>
      <c r="G528" s="16" t="s">
        <v>371</v>
      </c>
      <c r="H528" s="17" t="s">
        <v>1018</v>
      </c>
      <c r="I528" s="16" t="s">
        <v>74</v>
      </c>
      <c r="J528" s="17" t="s">
        <v>2234</v>
      </c>
      <c r="K528" s="20"/>
    </row>
    <row r="529" ht="15.75" customHeight="1">
      <c r="A529" s="14" t="s">
        <v>97</v>
      </c>
      <c r="B529" s="15">
        <v>411.0</v>
      </c>
      <c r="C529" s="17" t="s">
        <v>2245</v>
      </c>
      <c r="D529" s="17" t="s">
        <v>2246</v>
      </c>
      <c r="E529" s="17" t="s">
        <v>441</v>
      </c>
      <c r="F529" s="16" t="s">
        <v>68</v>
      </c>
      <c r="G529" s="16" t="s">
        <v>371</v>
      </c>
      <c r="H529" s="17" t="s">
        <v>1022</v>
      </c>
      <c r="I529" s="16" t="s">
        <v>74</v>
      </c>
      <c r="J529" s="17" t="s">
        <v>2234</v>
      </c>
      <c r="K529" s="20"/>
    </row>
    <row r="530" ht="15.75" customHeight="1">
      <c r="A530" s="14" t="s">
        <v>97</v>
      </c>
      <c r="B530" s="15">
        <v>412.0</v>
      </c>
      <c r="C530" s="17" t="s">
        <v>1794</v>
      </c>
      <c r="D530" s="17" t="s">
        <v>2247</v>
      </c>
      <c r="E530" s="17" t="s">
        <v>386</v>
      </c>
      <c r="F530" s="16" t="s">
        <v>68</v>
      </c>
      <c r="G530" s="16" t="s">
        <v>371</v>
      </c>
      <c r="H530" s="17" t="s">
        <v>2248</v>
      </c>
      <c r="I530" s="16" t="s">
        <v>74</v>
      </c>
      <c r="J530" s="17" t="s">
        <v>1027</v>
      </c>
      <c r="K530" s="20"/>
    </row>
    <row r="531" ht="15.75" customHeight="1">
      <c r="A531" s="14" t="s">
        <v>97</v>
      </c>
      <c r="B531" s="15">
        <v>413.0</v>
      </c>
      <c r="C531" s="17" t="s">
        <v>1375</v>
      </c>
      <c r="D531" s="17" t="s">
        <v>1656</v>
      </c>
      <c r="E531" s="17" t="s">
        <v>392</v>
      </c>
      <c r="F531" s="16" t="s">
        <v>68</v>
      </c>
      <c r="G531" s="16" t="s">
        <v>371</v>
      </c>
      <c r="H531" s="17" t="s">
        <v>2248</v>
      </c>
      <c r="I531" s="16" t="s">
        <v>74</v>
      </c>
      <c r="J531" s="17" t="s">
        <v>1027</v>
      </c>
      <c r="K531" s="20"/>
    </row>
    <row r="532" ht="15.75" customHeight="1">
      <c r="A532" s="14" t="s">
        <v>97</v>
      </c>
      <c r="B532" s="15">
        <v>414.0</v>
      </c>
      <c r="C532" s="17" t="s">
        <v>2249</v>
      </c>
      <c r="D532" s="17" t="s">
        <v>1148</v>
      </c>
      <c r="E532" s="17" t="s">
        <v>1034</v>
      </c>
      <c r="F532" s="16" t="s">
        <v>181</v>
      </c>
      <c r="G532" s="16" t="s">
        <v>72</v>
      </c>
      <c r="H532" s="17" t="s">
        <v>2248</v>
      </c>
      <c r="I532" s="16" t="s">
        <v>74</v>
      </c>
      <c r="J532" s="17" t="s">
        <v>1027</v>
      </c>
      <c r="K532" s="20"/>
    </row>
    <row r="533" ht="15.75" customHeight="1">
      <c r="A533" s="14" t="s">
        <v>97</v>
      </c>
      <c r="B533" s="15">
        <v>415.0</v>
      </c>
      <c r="C533" s="17" t="s">
        <v>2250</v>
      </c>
      <c r="D533" s="17" t="s">
        <v>2186</v>
      </c>
      <c r="E533" s="17" t="s">
        <v>1037</v>
      </c>
      <c r="F533" s="16" t="s">
        <v>68</v>
      </c>
      <c r="G533" s="16" t="s">
        <v>72</v>
      </c>
      <c r="H533" s="17" t="s">
        <v>2248</v>
      </c>
      <c r="I533" s="16" t="s">
        <v>74</v>
      </c>
      <c r="J533" s="17" t="s">
        <v>1027</v>
      </c>
      <c r="K533" s="20"/>
    </row>
    <row r="534" ht="15.75" customHeight="1">
      <c r="A534" s="14" t="s">
        <v>97</v>
      </c>
      <c r="B534" s="15">
        <v>416.0</v>
      </c>
      <c r="C534" s="17" t="s">
        <v>1796</v>
      </c>
      <c r="D534" s="17" t="s">
        <v>2251</v>
      </c>
      <c r="E534" s="17" t="s">
        <v>386</v>
      </c>
      <c r="F534" s="16" t="s">
        <v>68</v>
      </c>
      <c r="G534" s="16" t="s">
        <v>371</v>
      </c>
      <c r="H534" s="17" t="s">
        <v>2252</v>
      </c>
      <c r="I534" s="16" t="s">
        <v>74</v>
      </c>
      <c r="J534" s="17" t="s">
        <v>1027</v>
      </c>
      <c r="K534" s="20"/>
    </row>
    <row r="535" ht="15.75" customHeight="1">
      <c r="A535" s="14" t="s">
        <v>97</v>
      </c>
      <c r="B535" s="15">
        <v>417.0</v>
      </c>
      <c r="C535" s="17" t="s">
        <v>1916</v>
      </c>
      <c r="D535" s="17" t="s">
        <v>2180</v>
      </c>
      <c r="E535" s="17" t="s">
        <v>392</v>
      </c>
      <c r="F535" s="16" t="s">
        <v>68</v>
      </c>
      <c r="G535" s="16" t="s">
        <v>371</v>
      </c>
      <c r="H535" s="17" t="s">
        <v>2252</v>
      </c>
      <c r="I535" s="16" t="s">
        <v>74</v>
      </c>
      <c r="J535" s="17" t="s">
        <v>1027</v>
      </c>
      <c r="K535" s="20"/>
    </row>
    <row r="536" ht="15.75" customHeight="1">
      <c r="A536" s="14" t="s">
        <v>97</v>
      </c>
      <c r="B536" s="15">
        <v>418.0</v>
      </c>
      <c r="C536" s="17" t="s">
        <v>2253</v>
      </c>
      <c r="D536" s="17" t="s">
        <v>1214</v>
      </c>
      <c r="E536" s="17" t="s">
        <v>1034</v>
      </c>
      <c r="F536" s="16" t="s">
        <v>181</v>
      </c>
      <c r="G536" s="16" t="s">
        <v>72</v>
      </c>
      <c r="H536" s="17" t="s">
        <v>2252</v>
      </c>
      <c r="I536" s="16" t="s">
        <v>74</v>
      </c>
      <c r="J536" s="17" t="s">
        <v>1027</v>
      </c>
      <c r="K536" s="20"/>
    </row>
    <row r="537" ht="15.75" customHeight="1">
      <c r="A537" s="14" t="s">
        <v>97</v>
      </c>
      <c r="B537" s="15">
        <v>419.0</v>
      </c>
      <c r="C537" s="17" t="s">
        <v>2254</v>
      </c>
      <c r="D537" s="17" t="s">
        <v>2186</v>
      </c>
      <c r="E537" s="17" t="s">
        <v>1037</v>
      </c>
      <c r="F537" s="16" t="s">
        <v>68</v>
      </c>
      <c r="G537" s="16" t="s">
        <v>72</v>
      </c>
      <c r="H537" s="17" t="s">
        <v>2252</v>
      </c>
      <c r="I537" s="16" t="s">
        <v>74</v>
      </c>
      <c r="J537" s="17" t="s">
        <v>1027</v>
      </c>
      <c r="K537" s="20"/>
    </row>
    <row r="538" ht="15.75" customHeight="1">
      <c r="A538" s="14" t="s">
        <v>97</v>
      </c>
      <c r="B538" s="15">
        <v>420.0</v>
      </c>
      <c r="C538" s="17" t="s">
        <v>1799</v>
      </c>
      <c r="D538" s="17" t="s">
        <v>2255</v>
      </c>
      <c r="E538" s="17" t="s">
        <v>386</v>
      </c>
      <c r="F538" s="16" t="s">
        <v>68</v>
      </c>
      <c r="G538" s="16" t="s">
        <v>371</v>
      </c>
      <c r="H538" s="17" t="s">
        <v>2256</v>
      </c>
      <c r="I538" s="16" t="s">
        <v>74</v>
      </c>
      <c r="J538" s="17" t="s">
        <v>1027</v>
      </c>
      <c r="K538" s="20"/>
    </row>
    <row r="539" ht="15.75" customHeight="1">
      <c r="A539" s="14" t="s">
        <v>97</v>
      </c>
      <c r="B539" s="15">
        <v>421.0</v>
      </c>
      <c r="C539" s="17" t="s">
        <v>1919</v>
      </c>
      <c r="D539" s="17" t="s">
        <v>1733</v>
      </c>
      <c r="E539" s="17" t="s">
        <v>392</v>
      </c>
      <c r="F539" s="16" t="s">
        <v>68</v>
      </c>
      <c r="G539" s="16" t="s">
        <v>371</v>
      </c>
      <c r="H539" s="17" t="s">
        <v>2256</v>
      </c>
      <c r="I539" s="16" t="s">
        <v>74</v>
      </c>
      <c r="J539" s="17" t="s">
        <v>1027</v>
      </c>
      <c r="K539" s="20"/>
    </row>
    <row r="540" ht="15.75" customHeight="1">
      <c r="A540" s="14" t="s">
        <v>97</v>
      </c>
      <c r="B540" s="15">
        <v>422.0</v>
      </c>
      <c r="C540" s="17" t="s">
        <v>1377</v>
      </c>
      <c r="D540" s="17" t="s">
        <v>2257</v>
      </c>
      <c r="E540" s="17" t="s">
        <v>1034</v>
      </c>
      <c r="F540" s="16" t="s">
        <v>181</v>
      </c>
      <c r="G540" s="16" t="s">
        <v>72</v>
      </c>
      <c r="H540" s="17" t="s">
        <v>2256</v>
      </c>
      <c r="I540" s="16" t="s">
        <v>74</v>
      </c>
      <c r="J540" s="17" t="s">
        <v>1027</v>
      </c>
      <c r="K540" s="20"/>
    </row>
    <row r="541" ht="15.75" customHeight="1">
      <c r="A541" s="14" t="s">
        <v>97</v>
      </c>
      <c r="B541" s="15">
        <v>423.0</v>
      </c>
      <c r="C541" s="17" t="s">
        <v>2258</v>
      </c>
      <c r="D541" s="17" t="s">
        <v>2186</v>
      </c>
      <c r="E541" s="17" t="s">
        <v>1037</v>
      </c>
      <c r="F541" s="16" t="s">
        <v>68</v>
      </c>
      <c r="G541" s="16" t="s">
        <v>72</v>
      </c>
      <c r="H541" s="17" t="s">
        <v>2256</v>
      </c>
      <c r="I541" s="16" t="s">
        <v>74</v>
      </c>
      <c r="J541" s="17" t="s">
        <v>1027</v>
      </c>
      <c r="K541" s="20"/>
    </row>
    <row r="542" ht="15.75" customHeight="1">
      <c r="A542" s="14" t="s">
        <v>97</v>
      </c>
      <c r="B542" s="15">
        <v>424.0</v>
      </c>
      <c r="C542" s="17" t="s">
        <v>2259</v>
      </c>
      <c r="D542" s="17" t="s">
        <v>2260</v>
      </c>
      <c r="E542" s="17" t="s">
        <v>386</v>
      </c>
      <c r="F542" s="16" t="s">
        <v>68</v>
      </c>
      <c r="G542" s="16" t="s">
        <v>371</v>
      </c>
      <c r="H542" s="17" t="s">
        <v>2261</v>
      </c>
      <c r="I542" s="16" t="s">
        <v>74</v>
      </c>
      <c r="J542" s="17" t="s">
        <v>1027</v>
      </c>
      <c r="K542" s="20"/>
    </row>
    <row r="543" ht="15.75" customHeight="1">
      <c r="A543" s="14" t="s">
        <v>97</v>
      </c>
      <c r="B543" s="15">
        <v>425.0</v>
      </c>
      <c r="C543" s="17" t="s">
        <v>1921</v>
      </c>
      <c r="D543" s="17" t="s">
        <v>1733</v>
      </c>
      <c r="E543" s="17" t="s">
        <v>392</v>
      </c>
      <c r="F543" s="16" t="s">
        <v>68</v>
      </c>
      <c r="G543" s="16" t="s">
        <v>371</v>
      </c>
      <c r="H543" s="17" t="s">
        <v>2261</v>
      </c>
      <c r="I543" s="16" t="s">
        <v>74</v>
      </c>
      <c r="J543" s="17" t="s">
        <v>1027</v>
      </c>
      <c r="K543" s="20"/>
    </row>
    <row r="544" ht="15.75" customHeight="1">
      <c r="A544" s="14" t="s">
        <v>97</v>
      </c>
      <c r="B544" s="15">
        <v>426.0</v>
      </c>
      <c r="C544" s="17" t="s">
        <v>2262</v>
      </c>
      <c r="D544" s="17" t="s">
        <v>1214</v>
      </c>
      <c r="E544" s="17" t="s">
        <v>1034</v>
      </c>
      <c r="F544" s="16" t="s">
        <v>181</v>
      </c>
      <c r="G544" s="16" t="s">
        <v>72</v>
      </c>
      <c r="H544" s="17" t="s">
        <v>2261</v>
      </c>
      <c r="I544" s="16" t="s">
        <v>74</v>
      </c>
      <c r="J544" s="17" t="s">
        <v>1027</v>
      </c>
      <c r="K544" s="20"/>
    </row>
    <row r="545" ht="15.75" customHeight="1">
      <c r="A545" s="14" t="s">
        <v>97</v>
      </c>
      <c r="B545" s="15">
        <v>427.0</v>
      </c>
      <c r="C545" s="17" t="s">
        <v>2263</v>
      </c>
      <c r="D545" s="17" t="s">
        <v>2264</v>
      </c>
      <c r="E545" s="17" t="s">
        <v>386</v>
      </c>
      <c r="F545" s="16" t="s">
        <v>68</v>
      </c>
      <c r="G545" s="16" t="s">
        <v>371</v>
      </c>
      <c r="H545" s="17" t="s">
        <v>2265</v>
      </c>
      <c r="I545" s="16" t="s">
        <v>74</v>
      </c>
      <c r="J545" s="17" t="s">
        <v>1027</v>
      </c>
      <c r="K545" s="20"/>
    </row>
    <row r="546" ht="15.75" customHeight="1">
      <c r="A546" s="14" t="s">
        <v>97</v>
      </c>
      <c r="B546" s="15">
        <v>428.0</v>
      </c>
      <c r="C546" s="17" t="s">
        <v>1922</v>
      </c>
      <c r="D546" s="17" t="s">
        <v>1733</v>
      </c>
      <c r="E546" s="17" t="s">
        <v>392</v>
      </c>
      <c r="F546" s="16" t="s">
        <v>68</v>
      </c>
      <c r="G546" s="16" t="s">
        <v>371</v>
      </c>
      <c r="H546" s="17" t="s">
        <v>2265</v>
      </c>
      <c r="I546" s="16" t="s">
        <v>74</v>
      </c>
      <c r="J546" s="17" t="s">
        <v>1027</v>
      </c>
      <c r="K546" s="20"/>
    </row>
    <row r="547" ht="15.75" customHeight="1">
      <c r="A547" s="14" t="s">
        <v>97</v>
      </c>
      <c r="B547" s="15">
        <v>429.0</v>
      </c>
      <c r="C547" s="17" t="s">
        <v>2266</v>
      </c>
      <c r="D547" s="17" t="s">
        <v>1214</v>
      </c>
      <c r="E547" s="17" t="s">
        <v>1034</v>
      </c>
      <c r="F547" s="16" t="s">
        <v>181</v>
      </c>
      <c r="G547" s="16" t="s">
        <v>72</v>
      </c>
      <c r="H547" s="17" t="s">
        <v>2265</v>
      </c>
      <c r="I547" s="16" t="s">
        <v>74</v>
      </c>
      <c r="J547" s="17" t="s">
        <v>1027</v>
      </c>
      <c r="K547" s="20"/>
    </row>
    <row r="548" ht="15.75" customHeight="1">
      <c r="A548" s="14" t="s">
        <v>97</v>
      </c>
      <c r="B548" s="15">
        <v>430.0</v>
      </c>
      <c r="C548" s="17" t="s">
        <v>2267</v>
      </c>
      <c r="D548" s="17" t="s">
        <v>2268</v>
      </c>
      <c r="E548" s="17" t="s">
        <v>386</v>
      </c>
      <c r="F548" s="16" t="s">
        <v>68</v>
      </c>
      <c r="G548" s="16" t="s">
        <v>371</v>
      </c>
      <c r="H548" s="17" t="s">
        <v>2269</v>
      </c>
      <c r="I548" s="16" t="s">
        <v>74</v>
      </c>
      <c r="J548" s="17" t="s">
        <v>1027</v>
      </c>
      <c r="K548" s="20"/>
    </row>
    <row r="549" ht="15.75" customHeight="1">
      <c r="A549" s="14" t="s">
        <v>97</v>
      </c>
      <c r="B549" s="15">
        <v>431.0</v>
      </c>
      <c r="C549" s="17" t="s">
        <v>1924</v>
      </c>
      <c r="D549" s="17" t="s">
        <v>1733</v>
      </c>
      <c r="E549" s="17" t="s">
        <v>392</v>
      </c>
      <c r="F549" s="16" t="s">
        <v>68</v>
      </c>
      <c r="G549" s="16" t="s">
        <v>371</v>
      </c>
      <c r="H549" s="17" t="s">
        <v>2269</v>
      </c>
      <c r="I549" s="16" t="s">
        <v>74</v>
      </c>
      <c r="J549" s="17" t="s">
        <v>1027</v>
      </c>
      <c r="K549" s="20"/>
    </row>
    <row r="550" ht="15.75" customHeight="1">
      <c r="A550" s="14" t="s">
        <v>97</v>
      </c>
      <c r="B550" s="15">
        <v>432.0</v>
      </c>
      <c r="C550" s="17" t="s">
        <v>2270</v>
      </c>
      <c r="D550" s="17" t="s">
        <v>1214</v>
      </c>
      <c r="E550" s="17" t="s">
        <v>1034</v>
      </c>
      <c r="F550" s="16" t="s">
        <v>181</v>
      </c>
      <c r="G550" s="16" t="s">
        <v>72</v>
      </c>
      <c r="H550" s="17" t="s">
        <v>2269</v>
      </c>
      <c r="I550" s="16" t="s">
        <v>74</v>
      </c>
      <c r="J550" s="17" t="s">
        <v>1027</v>
      </c>
      <c r="K550" s="20"/>
    </row>
    <row r="551" ht="15.75" customHeight="1">
      <c r="A551" s="14" t="s">
        <v>97</v>
      </c>
      <c r="B551" s="15">
        <v>433.0</v>
      </c>
      <c r="C551" s="17" t="s">
        <v>2273</v>
      </c>
      <c r="D551" s="17" t="s">
        <v>2274</v>
      </c>
      <c r="E551" s="17" t="s">
        <v>386</v>
      </c>
      <c r="F551" s="16" t="s">
        <v>68</v>
      </c>
      <c r="G551" s="16" t="s">
        <v>371</v>
      </c>
      <c r="H551" s="17" t="s">
        <v>2275</v>
      </c>
      <c r="I551" s="16" t="s">
        <v>74</v>
      </c>
      <c r="J551" s="17" t="s">
        <v>1027</v>
      </c>
      <c r="K551" s="20"/>
    </row>
    <row r="552" ht="15.75" customHeight="1">
      <c r="A552" s="14" t="s">
        <v>97</v>
      </c>
      <c r="B552" s="15">
        <v>434.0</v>
      </c>
      <c r="C552" s="17" t="s">
        <v>1926</v>
      </c>
      <c r="D552" s="17" t="s">
        <v>2180</v>
      </c>
      <c r="E552" s="17" t="s">
        <v>392</v>
      </c>
      <c r="F552" s="16" t="s">
        <v>68</v>
      </c>
      <c r="G552" s="16" t="s">
        <v>371</v>
      </c>
      <c r="H552" s="17" t="s">
        <v>2275</v>
      </c>
      <c r="I552" s="16" t="s">
        <v>74</v>
      </c>
      <c r="J552" s="17" t="s">
        <v>1027</v>
      </c>
      <c r="K552" s="20"/>
    </row>
    <row r="553" ht="15.75" customHeight="1">
      <c r="A553" s="14" t="s">
        <v>97</v>
      </c>
      <c r="B553" s="15">
        <v>435.0</v>
      </c>
      <c r="C553" s="17" t="s">
        <v>2278</v>
      </c>
      <c r="D553" s="17" t="s">
        <v>1214</v>
      </c>
      <c r="E553" s="17" t="s">
        <v>1034</v>
      </c>
      <c r="F553" s="16" t="s">
        <v>181</v>
      </c>
      <c r="G553" s="16" t="s">
        <v>72</v>
      </c>
      <c r="H553" s="17" t="s">
        <v>2275</v>
      </c>
      <c r="I553" s="16" t="s">
        <v>74</v>
      </c>
      <c r="J553" s="17" t="s">
        <v>1027</v>
      </c>
      <c r="K553" s="20"/>
    </row>
    <row r="554" ht="15.75" customHeight="1">
      <c r="A554" s="14" t="s">
        <v>97</v>
      </c>
      <c r="B554" s="15">
        <v>436.0</v>
      </c>
      <c r="C554" s="17" t="s">
        <v>2280</v>
      </c>
      <c r="D554" s="17" t="s">
        <v>2281</v>
      </c>
      <c r="E554" s="17" t="s">
        <v>386</v>
      </c>
      <c r="F554" s="16" t="s">
        <v>68</v>
      </c>
      <c r="G554" s="16" t="s">
        <v>371</v>
      </c>
      <c r="H554" s="17" t="s">
        <v>2283</v>
      </c>
      <c r="I554" s="16" t="s">
        <v>74</v>
      </c>
      <c r="J554" s="17" t="s">
        <v>1027</v>
      </c>
      <c r="K554" s="20"/>
    </row>
    <row r="555" ht="15.75" customHeight="1">
      <c r="A555" s="14" t="s">
        <v>97</v>
      </c>
      <c r="B555" s="15">
        <v>437.0</v>
      </c>
      <c r="C555" s="17" t="s">
        <v>1929</v>
      </c>
      <c r="D555" s="17" t="s">
        <v>2180</v>
      </c>
      <c r="E555" s="17" t="s">
        <v>392</v>
      </c>
      <c r="F555" s="16" t="s">
        <v>68</v>
      </c>
      <c r="G555" s="16" t="s">
        <v>371</v>
      </c>
      <c r="H555" s="17" t="s">
        <v>2283</v>
      </c>
      <c r="I555" s="16" t="s">
        <v>74</v>
      </c>
      <c r="J555" s="17" t="s">
        <v>1027</v>
      </c>
      <c r="K555" s="20"/>
    </row>
    <row r="556" ht="15.75" customHeight="1">
      <c r="A556" s="14" t="s">
        <v>97</v>
      </c>
      <c r="B556" s="15">
        <v>438.0</v>
      </c>
      <c r="C556" s="17" t="s">
        <v>2284</v>
      </c>
      <c r="D556" s="17" t="s">
        <v>1214</v>
      </c>
      <c r="E556" s="17" t="s">
        <v>1034</v>
      </c>
      <c r="F556" s="16" t="s">
        <v>181</v>
      </c>
      <c r="G556" s="16" t="s">
        <v>72</v>
      </c>
      <c r="H556" s="17" t="s">
        <v>2283</v>
      </c>
      <c r="I556" s="16" t="s">
        <v>74</v>
      </c>
      <c r="J556" s="17" t="s">
        <v>1027</v>
      </c>
      <c r="K556" s="20"/>
    </row>
    <row r="557" ht="15.75" customHeight="1">
      <c r="A557" s="14" t="s">
        <v>97</v>
      </c>
      <c r="B557" s="15">
        <v>439.0</v>
      </c>
      <c r="C557" s="17" t="s">
        <v>2285</v>
      </c>
      <c r="D557" s="17" t="s">
        <v>2286</v>
      </c>
      <c r="E557" s="17" t="s">
        <v>386</v>
      </c>
      <c r="F557" s="16" t="s">
        <v>68</v>
      </c>
      <c r="G557" s="16" t="s">
        <v>371</v>
      </c>
      <c r="H557" s="17" t="s">
        <v>2287</v>
      </c>
      <c r="I557" s="16" t="s">
        <v>74</v>
      </c>
      <c r="J557" s="17" t="s">
        <v>1027</v>
      </c>
      <c r="K557" s="20"/>
    </row>
    <row r="558" ht="15.75" customHeight="1">
      <c r="A558" s="14" t="s">
        <v>97</v>
      </c>
      <c r="B558" s="15">
        <v>440.0</v>
      </c>
      <c r="C558" s="17" t="s">
        <v>1931</v>
      </c>
      <c r="D558" s="17" t="s">
        <v>1514</v>
      </c>
      <c r="E558" s="17" t="s">
        <v>392</v>
      </c>
      <c r="F558" s="16" t="s">
        <v>68</v>
      </c>
      <c r="G558" s="16" t="s">
        <v>371</v>
      </c>
      <c r="H558" s="17" t="s">
        <v>2287</v>
      </c>
      <c r="I558" s="16" t="s">
        <v>74</v>
      </c>
      <c r="J558" s="17" t="s">
        <v>1027</v>
      </c>
      <c r="K558" s="20"/>
    </row>
    <row r="559" ht="15.75" customHeight="1">
      <c r="A559" s="14" t="s">
        <v>97</v>
      </c>
      <c r="B559" s="15">
        <v>441.0</v>
      </c>
      <c r="C559" s="17" t="s">
        <v>2288</v>
      </c>
      <c r="D559" s="17" t="s">
        <v>1214</v>
      </c>
      <c r="E559" s="17" t="s">
        <v>1034</v>
      </c>
      <c r="F559" s="16" t="s">
        <v>181</v>
      </c>
      <c r="G559" s="16" t="s">
        <v>72</v>
      </c>
      <c r="H559" s="17" t="s">
        <v>2287</v>
      </c>
      <c r="I559" s="16" t="s">
        <v>74</v>
      </c>
      <c r="J559" s="17" t="s">
        <v>1027</v>
      </c>
      <c r="K559" s="20"/>
    </row>
    <row r="560" ht="15.75" customHeight="1">
      <c r="A560" s="14" t="s">
        <v>97</v>
      </c>
      <c r="B560" s="15">
        <v>442.0</v>
      </c>
      <c r="C560" s="17" t="s">
        <v>1787</v>
      </c>
      <c r="D560" s="17" t="s">
        <v>2289</v>
      </c>
      <c r="E560" s="17" t="s">
        <v>386</v>
      </c>
      <c r="F560" s="16" t="s">
        <v>68</v>
      </c>
      <c r="G560" s="16" t="s">
        <v>371</v>
      </c>
      <c r="H560" s="17" t="s">
        <v>2290</v>
      </c>
      <c r="I560" s="16" t="s">
        <v>74</v>
      </c>
      <c r="J560" s="17" t="s">
        <v>1027</v>
      </c>
      <c r="K560" s="20"/>
    </row>
    <row r="561" ht="15.75" customHeight="1">
      <c r="A561" s="14" t="s">
        <v>97</v>
      </c>
      <c r="B561" s="15">
        <v>443.0</v>
      </c>
      <c r="C561" s="17" t="s">
        <v>2291</v>
      </c>
      <c r="D561" s="17" t="s">
        <v>1747</v>
      </c>
      <c r="E561" s="17" t="s">
        <v>392</v>
      </c>
      <c r="F561" s="16" t="s">
        <v>68</v>
      </c>
      <c r="G561" s="16" t="s">
        <v>371</v>
      </c>
      <c r="H561" s="17" t="s">
        <v>2290</v>
      </c>
      <c r="I561" s="16" t="s">
        <v>74</v>
      </c>
      <c r="J561" s="17" t="s">
        <v>1027</v>
      </c>
      <c r="K561" s="20"/>
    </row>
    <row r="562" ht="15.75" customHeight="1">
      <c r="A562" s="14" t="s">
        <v>97</v>
      </c>
      <c r="B562" s="15">
        <v>444.0</v>
      </c>
      <c r="C562" s="17" t="s">
        <v>2292</v>
      </c>
      <c r="D562" s="17" t="s">
        <v>1214</v>
      </c>
      <c r="E562" s="17" t="s">
        <v>1034</v>
      </c>
      <c r="F562" s="16" t="s">
        <v>181</v>
      </c>
      <c r="G562" s="16" t="s">
        <v>72</v>
      </c>
      <c r="H562" s="17" t="s">
        <v>2290</v>
      </c>
      <c r="I562" s="16" t="s">
        <v>74</v>
      </c>
      <c r="J562" s="17" t="s">
        <v>1027</v>
      </c>
      <c r="K562" s="20"/>
    </row>
    <row r="563" ht="15.75" customHeight="1">
      <c r="A563" s="14" t="s">
        <v>97</v>
      </c>
      <c r="B563" s="15">
        <v>445.0</v>
      </c>
      <c r="C563" s="17" t="s">
        <v>1791</v>
      </c>
      <c r="D563" s="17" t="s">
        <v>2293</v>
      </c>
      <c r="E563" s="17" t="s">
        <v>386</v>
      </c>
      <c r="F563" s="16" t="s">
        <v>68</v>
      </c>
      <c r="G563" s="16" t="s">
        <v>371</v>
      </c>
      <c r="H563" s="17" t="s">
        <v>2294</v>
      </c>
      <c r="I563" s="16" t="s">
        <v>74</v>
      </c>
      <c r="J563" s="17" t="s">
        <v>1027</v>
      </c>
      <c r="K563" s="20"/>
    </row>
    <row r="564" ht="15.75" customHeight="1">
      <c r="A564" s="14" t="s">
        <v>97</v>
      </c>
      <c r="B564" s="15">
        <v>446.0</v>
      </c>
      <c r="C564" s="17" t="s">
        <v>2295</v>
      </c>
      <c r="D564" s="17" t="s">
        <v>1222</v>
      </c>
      <c r="E564" s="17" t="s">
        <v>392</v>
      </c>
      <c r="F564" s="16" t="s">
        <v>68</v>
      </c>
      <c r="G564" s="16" t="s">
        <v>371</v>
      </c>
      <c r="H564" s="17" t="s">
        <v>2294</v>
      </c>
      <c r="I564" s="16" t="s">
        <v>74</v>
      </c>
      <c r="J564" s="17" t="s">
        <v>1027</v>
      </c>
      <c r="K564" s="20"/>
    </row>
    <row r="565" ht="15.75" customHeight="1">
      <c r="A565" s="14" t="s">
        <v>97</v>
      </c>
      <c r="B565" s="15">
        <v>447.0</v>
      </c>
      <c r="C565" s="17" t="s">
        <v>2296</v>
      </c>
      <c r="D565" s="17" t="s">
        <v>1214</v>
      </c>
      <c r="E565" s="17" t="s">
        <v>1034</v>
      </c>
      <c r="F565" s="16" t="s">
        <v>181</v>
      </c>
      <c r="G565" s="16" t="s">
        <v>72</v>
      </c>
      <c r="H565" s="17" t="s">
        <v>2294</v>
      </c>
      <c r="I565" s="16" t="s">
        <v>74</v>
      </c>
      <c r="J565" s="17" t="s">
        <v>1027</v>
      </c>
      <c r="K565" s="20"/>
    </row>
    <row r="566" ht="15.75" customHeight="1">
      <c r="A566" s="14" t="s">
        <v>97</v>
      </c>
      <c r="B566" s="15">
        <v>448.0</v>
      </c>
      <c r="C566" s="17" t="s">
        <v>687</v>
      </c>
      <c r="D566" s="17" t="s">
        <v>2297</v>
      </c>
      <c r="E566" s="17" t="s">
        <v>441</v>
      </c>
      <c r="F566" s="16" t="s">
        <v>68</v>
      </c>
      <c r="G566" s="16" t="s">
        <v>371</v>
      </c>
      <c r="H566" s="17" t="s">
        <v>2298</v>
      </c>
      <c r="I566" s="16" t="s">
        <v>74</v>
      </c>
      <c r="J566" s="17" t="s">
        <v>1230</v>
      </c>
      <c r="K566" s="20"/>
    </row>
    <row r="567" ht="15.75" customHeight="1">
      <c r="A567" s="14" t="s">
        <v>97</v>
      </c>
      <c r="B567" s="15">
        <v>449.0</v>
      </c>
      <c r="C567" s="17" t="s">
        <v>2299</v>
      </c>
      <c r="D567" s="17" t="s">
        <v>2300</v>
      </c>
      <c r="E567" s="17" t="s">
        <v>441</v>
      </c>
      <c r="F567" s="16" t="s">
        <v>68</v>
      </c>
      <c r="G567" s="16" t="s">
        <v>371</v>
      </c>
      <c r="H567" s="17" t="s">
        <v>2301</v>
      </c>
      <c r="I567" s="16" t="s">
        <v>74</v>
      </c>
      <c r="J567" s="17" t="s">
        <v>1230</v>
      </c>
      <c r="K567" s="20"/>
    </row>
    <row r="568" ht="15.75" customHeight="1">
      <c r="A568" s="14" t="s">
        <v>97</v>
      </c>
      <c r="B568" s="15">
        <v>450.0</v>
      </c>
      <c r="C568" s="17" t="s">
        <v>2302</v>
      </c>
      <c r="D568" s="17" t="s">
        <v>2303</v>
      </c>
      <c r="E568" s="17" t="s">
        <v>441</v>
      </c>
      <c r="F568" s="16" t="s">
        <v>68</v>
      </c>
      <c r="G568" s="16" t="s">
        <v>371</v>
      </c>
      <c r="H568" s="17" t="s">
        <v>2304</v>
      </c>
      <c r="I568" s="16" t="s">
        <v>74</v>
      </c>
      <c r="J568" s="17" t="s">
        <v>1230</v>
      </c>
      <c r="K568" s="20"/>
    </row>
    <row r="569" ht="15.75" customHeight="1">
      <c r="A569" s="14" t="s">
        <v>97</v>
      </c>
      <c r="B569" s="15">
        <v>451.0</v>
      </c>
      <c r="C569" s="17" t="s">
        <v>2305</v>
      </c>
      <c r="D569" s="17" t="s">
        <v>2306</v>
      </c>
      <c r="E569" s="17" t="s">
        <v>441</v>
      </c>
      <c r="F569" s="16" t="s">
        <v>68</v>
      </c>
      <c r="G569" s="16" t="s">
        <v>371</v>
      </c>
      <c r="H569" s="17" t="s">
        <v>2307</v>
      </c>
      <c r="I569" s="16" t="s">
        <v>74</v>
      </c>
      <c r="J569" s="17" t="s">
        <v>1230</v>
      </c>
      <c r="K569" s="20"/>
    </row>
    <row r="570" ht="15.75" customHeight="1">
      <c r="A570" s="14" t="s">
        <v>97</v>
      </c>
      <c r="B570" s="15">
        <v>452.0</v>
      </c>
      <c r="C570" s="17" t="s">
        <v>370</v>
      </c>
      <c r="D570" s="17" t="s">
        <v>2308</v>
      </c>
      <c r="E570" s="17" t="s">
        <v>369</v>
      </c>
      <c r="F570" s="16" t="s">
        <v>68</v>
      </c>
      <c r="G570" s="16" t="s">
        <v>371</v>
      </c>
      <c r="H570" s="17" t="s">
        <v>949</v>
      </c>
      <c r="I570" s="16" t="s">
        <v>74</v>
      </c>
      <c r="J570" s="17" t="s">
        <v>2309</v>
      </c>
      <c r="K570" s="20"/>
    </row>
    <row r="571" ht="15.75" customHeight="1">
      <c r="A571" s="14" t="s">
        <v>97</v>
      </c>
      <c r="B571" s="15">
        <v>453.0</v>
      </c>
      <c r="C571" s="17" t="s">
        <v>1021</v>
      </c>
      <c r="D571" s="17" t="s">
        <v>2310</v>
      </c>
      <c r="E571" s="17" t="s">
        <v>956</v>
      </c>
      <c r="F571" s="16" t="s">
        <v>68</v>
      </c>
      <c r="G571" s="16" t="s">
        <v>864</v>
      </c>
      <c r="H571" s="17" t="s">
        <v>959</v>
      </c>
      <c r="I571" s="16" t="s">
        <v>74</v>
      </c>
      <c r="J571" s="17" t="s">
        <v>2309</v>
      </c>
      <c r="K571" s="20"/>
    </row>
    <row r="572" ht="15.75" customHeight="1">
      <c r="A572" s="14" t="s">
        <v>97</v>
      </c>
      <c r="B572" s="15">
        <v>454.0</v>
      </c>
      <c r="C572" s="17" t="s">
        <v>1464</v>
      </c>
      <c r="D572" s="17" t="s">
        <v>2311</v>
      </c>
      <c r="E572" s="17" t="s">
        <v>967</v>
      </c>
      <c r="F572" s="16" t="s">
        <v>68</v>
      </c>
      <c r="G572" s="16" t="s">
        <v>970</v>
      </c>
      <c r="H572" s="17" t="s">
        <v>972</v>
      </c>
      <c r="I572" s="16" t="s">
        <v>74</v>
      </c>
      <c r="J572" s="17" t="s">
        <v>2309</v>
      </c>
      <c r="K572" s="20"/>
    </row>
    <row r="573" ht="15.75" customHeight="1">
      <c r="A573" s="14" t="s">
        <v>97</v>
      </c>
      <c r="B573" s="15">
        <v>455.0</v>
      </c>
      <c r="C573" s="17" t="s">
        <v>2312</v>
      </c>
      <c r="D573" s="17" t="s">
        <v>1803</v>
      </c>
      <c r="E573" s="17" t="s">
        <v>979</v>
      </c>
      <c r="F573" s="16" t="s">
        <v>68</v>
      </c>
      <c r="G573" s="16" t="s">
        <v>864</v>
      </c>
      <c r="H573" s="17" t="s">
        <v>983</v>
      </c>
      <c r="I573" s="16" t="s">
        <v>74</v>
      </c>
      <c r="J573" s="17" t="s">
        <v>2309</v>
      </c>
      <c r="K573" s="20"/>
    </row>
    <row r="574" ht="15.75" customHeight="1">
      <c r="A574" s="14" t="s">
        <v>97</v>
      </c>
      <c r="B574" s="15">
        <v>456.0</v>
      </c>
      <c r="C574" s="17" t="s">
        <v>2313</v>
      </c>
      <c r="D574" s="17" t="s">
        <v>930</v>
      </c>
      <c r="E574" s="17" t="s">
        <v>990</v>
      </c>
      <c r="F574" s="16" t="s">
        <v>357</v>
      </c>
      <c r="G574" s="16" t="s">
        <v>864</v>
      </c>
      <c r="H574" s="17" t="s">
        <v>992</v>
      </c>
      <c r="I574" s="16" t="s">
        <v>74</v>
      </c>
      <c r="J574" s="17" t="s">
        <v>2309</v>
      </c>
      <c r="K574" s="20"/>
    </row>
    <row r="575" ht="15.75" customHeight="1">
      <c r="A575" s="14" t="s">
        <v>97</v>
      </c>
      <c r="B575" s="15">
        <v>457.0</v>
      </c>
      <c r="C575" s="17" t="s">
        <v>2314</v>
      </c>
      <c r="D575" s="17" t="s">
        <v>75</v>
      </c>
      <c r="E575" s="17" t="s">
        <v>1001</v>
      </c>
      <c r="F575" s="16" t="s">
        <v>357</v>
      </c>
      <c r="G575" s="16" t="s">
        <v>864</v>
      </c>
      <c r="H575" s="17" t="s">
        <v>992</v>
      </c>
      <c r="I575" s="16" t="s">
        <v>74</v>
      </c>
      <c r="J575" s="17" t="s">
        <v>2309</v>
      </c>
      <c r="K575" s="20"/>
    </row>
    <row r="576" ht="15.75" customHeight="1">
      <c r="A576" s="14" t="s">
        <v>97</v>
      </c>
      <c r="B576" s="15">
        <v>458.0</v>
      </c>
      <c r="C576" s="17" t="s">
        <v>2315</v>
      </c>
      <c r="D576" s="17" t="s">
        <v>2316</v>
      </c>
      <c r="E576" s="17" t="s">
        <v>1012</v>
      </c>
      <c r="F576" s="16" t="s">
        <v>68</v>
      </c>
      <c r="G576" s="16" t="s">
        <v>72</v>
      </c>
      <c r="H576" s="17" t="s">
        <v>1014</v>
      </c>
      <c r="I576" s="16" t="s">
        <v>74</v>
      </c>
      <c r="J576" s="17" t="s">
        <v>2309</v>
      </c>
      <c r="K576" s="20"/>
    </row>
    <row r="577" ht="15.75" customHeight="1">
      <c r="A577" s="14" t="s">
        <v>97</v>
      </c>
      <c r="B577" s="15">
        <v>459.0</v>
      </c>
      <c r="C577" s="17" t="s">
        <v>1990</v>
      </c>
      <c r="D577" s="17"/>
      <c r="E577" s="17" t="s">
        <v>441</v>
      </c>
      <c r="F577" s="16" t="s">
        <v>68</v>
      </c>
      <c r="G577" s="16" t="s">
        <v>371</v>
      </c>
      <c r="H577" s="17" t="s">
        <v>1022</v>
      </c>
      <c r="I577" s="16" t="s">
        <v>74</v>
      </c>
      <c r="J577" s="17" t="s">
        <v>2309</v>
      </c>
      <c r="K577" s="20"/>
    </row>
    <row r="578" ht="15.75" customHeight="1">
      <c r="A578" s="14" t="s">
        <v>97</v>
      </c>
      <c r="B578" s="15">
        <v>460.0</v>
      </c>
      <c r="C578" s="17" t="s">
        <v>1610</v>
      </c>
      <c r="D578" s="17" t="s">
        <v>2317</v>
      </c>
      <c r="E578" s="17" t="s">
        <v>386</v>
      </c>
      <c r="F578" s="16" t="s">
        <v>68</v>
      </c>
      <c r="G578" s="16" t="s">
        <v>371</v>
      </c>
      <c r="H578" s="17" t="s">
        <v>2318</v>
      </c>
      <c r="I578" s="16" t="s">
        <v>74</v>
      </c>
      <c r="J578" s="17" t="s">
        <v>1027</v>
      </c>
      <c r="K578" s="20"/>
    </row>
    <row r="579" ht="15.75" customHeight="1">
      <c r="A579" s="14" t="s">
        <v>97</v>
      </c>
      <c r="B579" s="15">
        <v>461.0</v>
      </c>
      <c r="C579" s="17" t="s">
        <v>1015</v>
      </c>
      <c r="D579" s="17" t="s">
        <v>1811</v>
      </c>
      <c r="E579" s="17" t="s">
        <v>392</v>
      </c>
      <c r="F579" s="16" t="s">
        <v>68</v>
      </c>
      <c r="G579" s="16" t="s">
        <v>371</v>
      </c>
      <c r="H579" s="17" t="s">
        <v>2318</v>
      </c>
      <c r="I579" s="16" t="s">
        <v>74</v>
      </c>
      <c r="J579" s="17" t="s">
        <v>1027</v>
      </c>
      <c r="K579" s="20"/>
    </row>
    <row r="580" ht="15.75" customHeight="1">
      <c r="A580" s="14" t="s">
        <v>97</v>
      </c>
      <c r="B580" s="15">
        <v>462.0</v>
      </c>
      <c r="C580" s="17" t="s">
        <v>2319</v>
      </c>
      <c r="D580" s="17" t="s">
        <v>1891</v>
      </c>
      <c r="E580" s="17" t="s">
        <v>1034</v>
      </c>
      <c r="F580" s="16" t="s">
        <v>181</v>
      </c>
      <c r="G580" s="16" t="s">
        <v>72</v>
      </c>
      <c r="H580" s="17" t="s">
        <v>2318</v>
      </c>
      <c r="I580" s="16" t="s">
        <v>74</v>
      </c>
      <c r="J580" s="17" t="s">
        <v>1027</v>
      </c>
      <c r="K580" s="20"/>
    </row>
    <row r="581" ht="15.75" customHeight="1">
      <c r="A581" s="14" t="s">
        <v>97</v>
      </c>
      <c r="B581" s="15">
        <v>463.0</v>
      </c>
      <c r="C581" s="17" t="s">
        <v>2320</v>
      </c>
      <c r="D581" s="17" t="s">
        <v>2186</v>
      </c>
      <c r="E581" s="17" t="s">
        <v>1037</v>
      </c>
      <c r="F581" s="16" t="s">
        <v>68</v>
      </c>
      <c r="G581" s="16" t="s">
        <v>72</v>
      </c>
      <c r="H581" s="17" t="s">
        <v>2318</v>
      </c>
      <c r="I581" s="16" t="s">
        <v>74</v>
      </c>
      <c r="J581" s="17" t="s">
        <v>1027</v>
      </c>
      <c r="K581" s="20"/>
    </row>
    <row r="582" ht="15.75" customHeight="1">
      <c r="A582" s="14" t="s">
        <v>97</v>
      </c>
      <c r="B582" s="15">
        <v>464.0</v>
      </c>
      <c r="C582" s="17" t="s">
        <v>1612</v>
      </c>
      <c r="D582" s="17" t="s">
        <v>2321</v>
      </c>
      <c r="E582" s="17" t="s">
        <v>386</v>
      </c>
      <c r="F582" s="16" t="s">
        <v>68</v>
      </c>
      <c r="G582" s="16" t="s">
        <v>371</v>
      </c>
      <c r="H582" s="17" t="s">
        <v>2322</v>
      </c>
      <c r="I582" s="16" t="s">
        <v>74</v>
      </c>
      <c r="J582" s="17" t="s">
        <v>1027</v>
      </c>
      <c r="K582" s="20"/>
    </row>
    <row r="583" ht="15.75" customHeight="1">
      <c r="A583" s="14" t="s">
        <v>97</v>
      </c>
      <c r="B583" s="15">
        <v>465.0</v>
      </c>
      <c r="C583" s="17" t="s">
        <v>1819</v>
      </c>
      <c r="D583" s="17" t="s">
        <v>1042</v>
      </c>
      <c r="E583" s="17" t="s">
        <v>392</v>
      </c>
      <c r="F583" s="16" t="s">
        <v>68</v>
      </c>
      <c r="G583" s="16" t="s">
        <v>371</v>
      </c>
      <c r="H583" s="17" t="s">
        <v>2322</v>
      </c>
      <c r="I583" s="16" t="s">
        <v>74</v>
      </c>
      <c r="J583" s="17" t="s">
        <v>1027</v>
      </c>
      <c r="K583" s="20"/>
    </row>
    <row r="584" ht="15.75" customHeight="1">
      <c r="A584" s="14" t="s">
        <v>97</v>
      </c>
      <c r="B584" s="15">
        <v>466.0</v>
      </c>
      <c r="C584" s="17" t="s">
        <v>1958</v>
      </c>
      <c r="D584" s="17" t="s">
        <v>1214</v>
      </c>
      <c r="E584" s="17" t="s">
        <v>1034</v>
      </c>
      <c r="F584" s="16" t="s">
        <v>181</v>
      </c>
      <c r="G584" s="16" t="s">
        <v>72</v>
      </c>
      <c r="H584" s="17" t="s">
        <v>2322</v>
      </c>
      <c r="I584" s="16" t="s">
        <v>74</v>
      </c>
      <c r="J584" s="17" t="s">
        <v>1027</v>
      </c>
      <c r="K584" s="20"/>
    </row>
    <row r="585" ht="15.75" customHeight="1">
      <c r="A585" s="14" t="s">
        <v>97</v>
      </c>
      <c r="B585" s="15">
        <v>467.0</v>
      </c>
      <c r="C585" s="17" t="s">
        <v>1960</v>
      </c>
      <c r="D585" s="17" t="s">
        <v>2186</v>
      </c>
      <c r="E585" s="17" t="s">
        <v>1037</v>
      </c>
      <c r="F585" s="16" t="s">
        <v>68</v>
      </c>
      <c r="G585" s="16" t="s">
        <v>72</v>
      </c>
      <c r="H585" s="17" t="s">
        <v>2322</v>
      </c>
      <c r="I585" s="16" t="s">
        <v>74</v>
      </c>
      <c r="J585" s="17" t="s">
        <v>1027</v>
      </c>
      <c r="K585" s="20"/>
    </row>
    <row r="586" ht="15.75" customHeight="1">
      <c r="A586" s="14" t="s">
        <v>97</v>
      </c>
      <c r="B586" s="15">
        <v>468.0</v>
      </c>
      <c r="C586" s="17" t="s">
        <v>1963</v>
      </c>
      <c r="D586" s="17" t="s">
        <v>2323</v>
      </c>
      <c r="E586" s="17" t="s">
        <v>386</v>
      </c>
      <c r="F586" s="16" t="s">
        <v>68</v>
      </c>
      <c r="G586" s="16" t="s">
        <v>371</v>
      </c>
      <c r="H586" s="17" t="s">
        <v>2324</v>
      </c>
      <c r="I586" s="16" t="s">
        <v>74</v>
      </c>
      <c r="J586" s="17" t="s">
        <v>1027</v>
      </c>
      <c r="K586" s="20"/>
    </row>
    <row r="587" ht="15.75" customHeight="1">
      <c r="A587" s="14" t="s">
        <v>97</v>
      </c>
      <c r="B587" s="15">
        <v>469.0</v>
      </c>
      <c r="C587" s="17" t="s">
        <v>1967</v>
      </c>
      <c r="D587" s="17" t="s">
        <v>2325</v>
      </c>
      <c r="E587" s="17" t="s">
        <v>392</v>
      </c>
      <c r="F587" s="16" t="s">
        <v>68</v>
      </c>
      <c r="G587" s="16" t="s">
        <v>371</v>
      </c>
      <c r="H587" s="17" t="s">
        <v>2324</v>
      </c>
      <c r="I587" s="16" t="s">
        <v>74</v>
      </c>
      <c r="J587" s="17" t="s">
        <v>1027</v>
      </c>
      <c r="K587" s="20"/>
    </row>
    <row r="588" ht="15.75" customHeight="1">
      <c r="A588" s="14" t="s">
        <v>97</v>
      </c>
      <c r="B588" s="15">
        <v>470.0</v>
      </c>
      <c r="C588" s="17" t="s">
        <v>1966</v>
      </c>
      <c r="D588" s="17" t="s">
        <v>1167</v>
      </c>
      <c r="E588" s="17" t="s">
        <v>1034</v>
      </c>
      <c r="F588" s="16" t="s">
        <v>181</v>
      </c>
      <c r="G588" s="16" t="s">
        <v>72</v>
      </c>
      <c r="H588" s="17" t="s">
        <v>2324</v>
      </c>
      <c r="I588" s="16" t="s">
        <v>74</v>
      </c>
      <c r="J588" s="17" t="s">
        <v>1027</v>
      </c>
      <c r="K588" s="20"/>
    </row>
    <row r="589" ht="15.75" customHeight="1">
      <c r="A589" s="14" t="s">
        <v>97</v>
      </c>
      <c r="B589" s="15">
        <v>471.0</v>
      </c>
      <c r="C589" s="17" t="s">
        <v>1968</v>
      </c>
      <c r="D589" s="17" t="s">
        <v>2326</v>
      </c>
      <c r="E589" s="17" t="s">
        <v>386</v>
      </c>
      <c r="F589" s="16" t="s">
        <v>68</v>
      </c>
      <c r="G589" s="16" t="s">
        <v>371</v>
      </c>
      <c r="H589" s="17" t="s">
        <v>2327</v>
      </c>
      <c r="I589" s="16" t="s">
        <v>74</v>
      </c>
      <c r="J589" s="17" t="s">
        <v>1027</v>
      </c>
      <c r="K589" s="20"/>
    </row>
    <row r="590" ht="15.75" customHeight="1">
      <c r="A590" s="14" t="s">
        <v>97</v>
      </c>
      <c r="B590" s="15">
        <v>472.0</v>
      </c>
      <c r="C590" s="17" t="s">
        <v>1019</v>
      </c>
      <c r="D590" s="17" t="s">
        <v>2328</v>
      </c>
      <c r="E590" s="17" t="s">
        <v>392</v>
      </c>
      <c r="F590" s="16" t="s">
        <v>68</v>
      </c>
      <c r="G590" s="16" t="s">
        <v>371</v>
      </c>
      <c r="H590" s="17" t="s">
        <v>2327</v>
      </c>
      <c r="I590" s="16" t="s">
        <v>74</v>
      </c>
      <c r="J590" s="17" t="s">
        <v>1027</v>
      </c>
      <c r="K590" s="20"/>
    </row>
    <row r="591" ht="15.75" customHeight="1">
      <c r="A591" s="14" t="s">
        <v>97</v>
      </c>
      <c r="B591" s="15">
        <v>473.0</v>
      </c>
      <c r="C591" s="17" t="s">
        <v>1017</v>
      </c>
      <c r="D591" s="17" t="s">
        <v>2257</v>
      </c>
      <c r="E591" s="17" t="s">
        <v>1034</v>
      </c>
      <c r="F591" s="16" t="s">
        <v>181</v>
      </c>
      <c r="G591" s="16" t="s">
        <v>72</v>
      </c>
      <c r="H591" s="17" t="s">
        <v>2327</v>
      </c>
      <c r="I591" s="16" t="s">
        <v>74</v>
      </c>
      <c r="J591" s="17" t="s">
        <v>1027</v>
      </c>
      <c r="K591" s="20"/>
    </row>
    <row r="592" ht="15.75" customHeight="1">
      <c r="A592" s="14" t="s">
        <v>97</v>
      </c>
      <c r="B592" s="15">
        <v>474.0</v>
      </c>
      <c r="C592" s="17" t="s">
        <v>1970</v>
      </c>
      <c r="D592" s="17" t="s">
        <v>2329</v>
      </c>
      <c r="E592" s="17" t="s">
        <v>386</v>
      </c>
      <c r="F592" s="16" t="s">
        <v>68</v>
      </c>
      <c r="G592" s="16" t="s">
        <v>371</v>
      </c>
      <c r="H592" s="17" t="s">
        <v>2330</v>
      </c>
      <c r="I592" s="16" t="s">
        <v>74</v>
      </c>
      <c r="J592" s="17" t="s">
        <v>1027</v>
      </c>
      <c r="K592" s="20"/>
    </row>
    <row r="593" ht="15.75" customHeight="1">
      <c r="A593" s="14" t="s">
        <v>97</v>
      </c>
      <c r="B593" s="15">
        <v>475.0</v>
      </c>
      <c r="C593" s="17" t="s">
        <v>1974</v>
      </c>
      <c r="D593" s="17" t="s">
        <v>1747</v>
      </c>
      <c r="E593" s="17" t="s">
        <v>392</v>
      </c>
      <c r="F593" s="16" t="s">
        <v>68</v>
      </c>
      <c r="G593" s="16" t="s">
        <v>371</v>
      </c>
      <c r="H593" s="17" t="s">
        <v>2330</v>
      </c>
      <c r="I593" s="16" t="s">
        <v>74</v>
      </c>
      <c r="J593" s="17" t="s">
        <v>1027</v>
      </c>
      <c r="K593" s="20"/>
    </row>
    <row r="594" ht="15.75" customHeight="1">
      <c r="A594" s="14" t="s">
        <v>97</v>
      </c>
      <c r="B594" s="15">
        <v>476.0</v>
      </c>
      <c r="C594" s="17" t="s">
        <v>1973</v>
      </c>
      <c r="D594" s="17" t="s">
        <v>1214</v>
      </c>
      <c r="E594" s="17" t="s">
        <v>1034</v>
      </c>
      <c r="F594" s="16" t="s">
        <v>181</v>
      </c>
      <c r="G594" s="16" t="s">
        <v>72</v>
      </c>
      <c r="H594" s="17" t="s">
        <v>2330</v>
      </c>
      <c r="I594" s="16" t="s">
        <v>74</v>
      </c>
      <c r="J594" s="17" t="s">
        <v>1027</v>
      </c>
      <c r="K594" s="20"/>
    </row>
    <row r="595" ht="15.75" customHeight="1">
      <c r="A595" s="14" t="s">
        <v>97</v>
      </c>
      <c r="B595" s="15">
        <v>477.0</v>
      </c>
      <c r="C595" s="17" t="s">
        <v>1976</v>
      </c>
      <c r="D595" s="17" t="s">
        <v>2331</v>
      </c>
      <c r="E595" s="17" t="s">
        <v>386</v>
      </c>
      <c r="F595" s="16" t="s">
        <v>68</v>
      </c>
      <c r="G595" s="16" t="s">
        <v>371</v>
      </c>
      <c r="H595" s="17" t="s">
        <v>2332</v>
      </c>
      <c r="I595" s="16" t="s">
        <v>74</v>
      </c>
      <c r="J595" s="17" t="s">
        <v>1027</v>
      </c>
      <c r="K595" s="20"/>
    </row>
    <row r="596" ht="15.75" customHeight="1">
      <c r="A596" s="14" t="s">
        <v>97</v>
      </c>
      <c r="B596" s="15">
        <v>478.0</v>
      </c>
      <c r="C596" s="17" t="s">
        <v>1979</v>
      </c>
      <c r="D596" s="17" t="s">
        <v>1222</v>
      </c>
      <c r="E596" s="17" t="s">
        <v>392</v>
      </c>
      <c r="F596" s="16" t="s">
        <v>68</v>
      </c>
      <c r="G596" s="16" t="s">
        <v>371</v>
      </c>
      <c r="H596" s="17" t="s">
        <v>2332</v>
      </c>
      <c r="I596" s="16" t="s">
        <v>74</v>
      </c>
      <c r="J596" s="17" t="s">
        <v>1027</v>
      </c>
      <c r="K596" s="20"/>
    </row>
    <row r="597" ht="15.75" customHeight="1">
      <c r="A597" s="14" t="s">
        <v>97</v>
      </c>
      <c r="B597" s="15">
        <v>479.0</v>
      </c>
      <c r="C597" s="17" t="s">
        <v>1977</v>
      </c>
      <c r="D597" s="17" t="s">
        <v>1214</v>
      </c>
      <c r="E597" s="17" t="s">
        <v>1034</v>
      </c>
      <c r="F597" s="16" t="s">
        <v>181</v>
      </c>
      <c r="G597" s="16" t="s">
        <v>72</v>
      </c>
      <c r="H597" s="17" t="s">
        <v>2332</v>
      </c>
      <c r="I597" s="16" t="s">
        <v>74</v>
      </c>
      <c r="J597" s="17" t="s">
        <v>1027</v>
      </c>
      <c r="K597" s="20"/>
    </row>
    <row r="598" ht="15.75" customHeight="1">
      <c r="A598" s="14" t="s">
        <v>97</v>
      </c>
      <c r="B598" s="15">
        <v>480.0</v>
      </c>
      <c r="C598" s="17" t="s">
        <v>1981</v>
      </c>
      <c r="D598" s="17" t="s">
        <v>2333</v>
      </c>
      <c r="E598" s="17" t="s">
        <v>386</v>
      </c>
      <c r="F598" s="16" t="s">
        <v>68</v>
      </c>
      <c r="G598" s="16" t="s">
        <v>371</v>
      </c>
      <c r="H598" s="17" t="s">
        <v>2334</v>
      </c>
      <c r="I598" s="16" t="s">
        <v>74</v>
      </c>
      <c r="J598" s="17" t="s">
        <v>1027</v>
      </c>
      <c r="K598" s="20"/>
    </row>
    <row r="599" ht="15.75" customHeight="1">
      <c r="A599" s="14" t="s">
        <v>97</v>
      </c>
      <c r="B599" s="15">
        <v>481.0</v>
      </c>
      <c r="C599" s="17" t="s">
        <v>1984</v>
      </c>
      <c r="D599" s="17" t="s">
        <v>1747</v>
      </c>
      <c r="E599" s="17" t="s">
        <v>392</v>
      </c>
      <c r="F599" s="16" t="s">
        <v>68</v>
      </c>
      <c r="G599" s="16" t="s">
        <v>371</v>
      </c>
      <c r="H599" s="17" t="s">
        <v>2334</v>
      </c>
      <c r="I599" s="16" t="s">
        <v>74</v>
      </c>
      <c r="J599" s="17" t="s">
        <v>1027</v>
      </c>
      <c r="K599" s="20"/>
    </row>
    <row r="600" ht="15.75" customHeight="1">
      <c r="A600" s="14" t="s">
        <v>97</v>
      </c>
      <c r="B600" s="15">
        <v>482.0</v>
      </c>
      <c r="C600" s="17" t="s">
        <v>1983</v>
      </c>
      <c r="D600" s="17" t="s">
        <v>2335</v>
      </c>
      <c r="E600" s="17" t="s">
        <v>1034</v>
      </c>
      <c r="F600" s="16" t="s">
        <v>181</v>
      </c>
      <c r="G600" s="16" t="s">
        <v>72</v>
      </c>
      <c r="H600" s="17" t="s">
        <v>2334</v>
      </c>
      <c r="I600" s="16" t="s">
        <v>74</v>
      </c>
      <c r="J600" s="17" t="s">
        <v>1027</v>
      </c>
      <c r="K600" s="20"/>
    </row>
    <row r="601" ht="15.75" customHeight="1">
      <c r="A601" s="14" t="s">
        <v>97</v>
      </c>
      <c r="B601" s="15">
        <v>483.0</v>
      </c>
      <c r="C601" s="17" t="s">
        <v>1985</v>
      </c>
      <c r="D601" s="17" t="s">
        <v>2336</v>
      </c>
      <c r="E601" s="17" t="s">
        <v>386</v>
      </c>
      <c r="F601" s="16" t="s">
        <v>68</v>
      </c>
      <c r="G601" s="16" t="s">
        <v>371</v>
      </c>
      <c r="H601" s="17" t="s">
        <v>2337</v>
      </c>
      <c r="I601" s="16" t="s">
        <v>74</v>
      </c>
      <c r="J601" s="17" t="s">
        <v>1027</v>
      </c>
      <c r="K601" s="20"/>
    </row>
    <row r="602" ht="15.75" customHeight="1">
      <c r="A602" s="14" t="s">
        <v>97</v>
      </c>
      <c r="B602" s="15">
        <v>484.0</v>
      </c>
      <c r="C602" s="17" t="s">
        <v>1820</v>
      </c>
      <c r="D602" s="17" t="s">
        <v>1514</v>
      </c>
      <c r="E602" s="17" t="s">
        <v>392</v>
      </c>
      <c r="F602" s="16" t="s">
        <v>68</v>
      </c>
      <c r="G602" s="16" t="s">
        <v>371</v>
      </c>
      <c r="H602" s="17" t="s">
        <v>2337</v>
      </c>
      <c r="I602" s="16" t="s">
        <v>74</v>
      </c>
      <c r="J602" s="17" t="s">
        <v>1027</v>
      </c>
      <c r="K602" s="20"/>
    </row>
    <row r="603" ht="15.75" customHeight="1">
      <c r="A603" s="14" t="s">
        <v>97</v>
      </c>
      <c r="B603" s="15">
        <v>485.0</v>
      </c>
      <c r="C603" s="17" t="s">
        <v>1987</v>
      </c>
      <c r="D603" s="17" t="s">
        <v>1214</v>
      </c>
      <c r="E603" s="17" t="s">
        <v>1034</v>
      </c>
      <c r="F603" s="16" t="s">
        <v>181</v>
      </c>
      <c r="G603" s="16" t="s">
        <v>72</v>
      </c>
      <c r="H603" s="17" t="s">
        <v>2337</v>
      </c>
      <c r="I603" s="16" t="s">
        <v>74</v>
      </c>
      <c r="J603" s="17" t="s">
        <v>1027</v>
      </c>
      <c r="K603" s="20"/>
    </row>
    <row r="604" ht="15.75" customHeight="1">
      <c r="A604" s="14" t="s">
        <v>97</v>
      </c>
      <c r="B604" s="15">
        <v>486.0</v>
      </c>
      <c r="C604" s="17" t="s">
        <v>569</v>
      </c>
      <c r="D604" s="17" t="s">
        <v>2338</v>
      </c>
      <c r="E604" s="17" t="s">
        <v>441</v>
      </c>
      <c r="F604" s="16" t="s">
        <v>68</v>
      </c>
      <c r="G604" s="16" t="s">
        <v>371</v>
      </c>
      <c r="H604" s="17" t="s">
        <v>2339</v>
      </c>
      <c r="I604" s="16" t="s">
        <v>74</v>
      </c>
      <c r="J604" s="17" t="s">
        <v>1230</v>
      </c>
      <c r="K604" s="20"/>
    </row>
    <row r="605" ht="15.75" customHeight="1">
      <c r="A605" s="14" t="s">
        <v>97</v>
      </c>
      <c r="B605" s="15">
        <v>487.0</v>
      </c>
      <c r="C605" s="17" t="s">
        <v>1953</v>
      </c>
      <c r="D605" s="17" t="s">
        <v>2340</v>
      </c>
      <c r="E605" s="17" t="s">
        <v>441</v>
      </c>
      <c r="F605" s="16" t="s">
        <v>68</v>
      </c>
      <c r="G605" s="16" t="s">
        <v>371</v>
      </c>
      <c r="H605" s="17" t="s">
        <v>2341</v>
      </c>
      <c r="I605" s="16" t="s">
        <v>74</v>
      </c>
      <c r="J605" s="17" t="s">
        <v>1230</v>
      </c>
      <c r="K605" s="20"/>
    </row>
    <row r="606" ht="15.75" customHeight="1">
      <c r="A606" s="14" t="s">
        <v>97</v>
      </c>
      <c r="B606" s="15">
        <v>488.0</v>
      </c>
      <c r="C606" s="17" t="s">
        <v>1954</v>
      </c>
      <c r="D606" s="17" t="s">
        <v>2342</v>
      </c>
      <c r="E606" s="17" t="s">
        <v>441</v>
      </c>
      <c r="F606" s="16" t="s">
        <v>68</v>
      </c>
      <c r="G606" s="16" t="s">
        <v>371</v>
      </c>
      <c r="H606" s="17" t="s">
        <v>2343</v>
      </c>
      <c r="I606" s="16" t="s">
        <v>74</v>
      </c>
      <c r="J606" s="17" t="s">
        <v>1230</v>
      </c>
      <c r="K606" s="20"/>
    </row>
    <row r="607" ht="15.75" customHeight="1">
      <c r="A607" s="14" t="s">
        <v>97</v>
      </c>
      <c r="B607" s="15">
        <v>489.0</v>
      </c>
      <c r="C607" s="17" t="s">
        <v>1956</v>
      </c>
      <c r="D607" s="17" t="s">
        <v>2344</v>
      </c>
      <c r="E607" s="17" t="s">
        <v>441</v>
      </c>
      <c r="F607" s="16" t="s">
        <v>68</v>
      </c>
      <c r="G607" s="16" t="s">
        <v>371</v>
      </c>
      <c r="H607" s="17" t="s">
        <v>2345</v>
      </c>
      <c r="I607" s="16" t="s">
        <v>74</v>
      </c>
      <c r="J607" s="17" t="s">
        <v>1230</v>
      </c>
      <c r="K607" s="20"/>
    </row>
    <row r="608" ht="15.75" customHeight="1">
      <c r="A608" s="14" t="s">
        <v>97</v>
      </c>
      <c r="B608" s="15">
        <v>490.0</v>
      </c>
      <c r="C608" s="17" t="s">
        <v>375</v>
      </c>
      <c r="D608" s="17" t="s">
        <v>2346</v>
      </c>
      <c r="E608" s="17" t="s">
        <v>369</v>
      </c>
      <c r="F608" s="16" t="s">
        <v>68</v>
      </c>
      <c r="G608" s="16" t="s">
        <v>371</v>
      </c>
      <c r="H608" s="17" t="s">
        <v>949</v>
      </c>
      <c r="I608" s="16" t="s">
        <v>74</v>
      </c>
      <c r="J608" s="17" t="s">
        <v>2347</v>
      </c>
      <c r="K608" s="20"/>
    </row>
    <row r="609" ht="15.75" customHeight="1">
      <c r="A609" s="14" t="s">
        <v>97</v>
      </c>
      <c r="B609" s="15">
        <v>491.0</v>
      </c>
      <c r="C609" s="17" t="s">
        <v>1025</v>
      </c>
      <c r="D609" s="17" t="s">
        <v>2156</v>
      </c>
      <c r="E609" s="17" t="s">
        <v>956</v>
      </c>
      <c r="F609" s="16" t="s">
        <v>68</v>
      </c>
      <c r="G609" s="16" t="s">
        <v>864</v>
      </c>
      <c r="H609" s="17" t="s">
        <v>959</v>
      </c>
      <c r="I609" s="16" t="s">
        <v>74</v>
      </c>
      <c r="J609" s="17" t="s">
        <v>2347</v>
      </c>
      <c r="K609" s="20"/>
    </row>
    <row r="610" ht="15.75" customHeight="1">
      <c r="A610" s="14" t="s">
        <v>97</v>
      </c>
      <c r="B610" s="15">
        <v>492.0</v>
      </c>
      <c r="C610" s="17" t="s">
        <v>1993</v>
      </c>
      <c r="D610" s="17" t="s">
        <v>2348</v>
      </c>
      <c r="E610" s="17" t="s">
        <v>967</v>
      </c>
      <c r="F610" s="16" t="s">
        <v>68</v>
      </c>
      <c r="G610" s="16" t="s">
        <v>970</v>
      </c>
      <c r="H610" s="17" t="s">
        <v>972</v>
      </c>
      <c r="I610" s="16" t="s">
        <v>74</v>
      </c>
      <c r="J610" s="17" t="s">
        <v>2347</v>
      </c>
      <c r="K610" s="20"/>
    </row>
    <row r="611" ht="15.75" customHeight="1">
      <c r="A611" s="14" t="s">
        <v>97</v>
      </c>
      <c r="B611" s="15">
        <v>493.0</v>
      </c>
      <c r="C611" s="17" t="s">
        <v>2349</v>
      </c>
      <c r="D611" s="17" t="s">
        <v>1884</v>
      </c>
      <c r="E611" s="17" t="s">
        <v>979</v>
      </c>
      <c r="F611" s="16" t="s">
        <v>68</v>
      </c>
      <c r="G611" s="16" t="s">
        <v>864</v>
      </c>
      <c r="H611" s="17" t="s">
        <v>983</v>
      </c>
      <c r="I611" s="16" t="s">
        <v>74</v>
      </c>
      <c r="J611" s="17" t="s">
        <v>2347</v>
      </c>
      <c r="K611" s="20"/>
    </row>
    <row r="612" ht="15.75" customHeight="1">
      <c r="A612" s="14" t="s">
        <v>97</v>
      </c>
      <c r="B612" s="15">
        <v>494.0</v>
      </c>
      <c r="C612" s="17" t="s">
        <v>2350</v>
      </c>
      <c r="D612" s="17" t="s">
        <v>930</v>
      </c>
      <c r="E612" s="17" t="s">
        <v>990</v>
      </c>
      <c r="F612" s="16" t="s">
        <v>357</v>
      </c>
      <c r="G612" s="16" t="s">
        <v>864</v>
      </c>
      <c r="H612" s="17" t="s">
        <v>992</v>
      </c>
      <c r="I612" s="16" t="s">
        <v>74</v>
      </c>
      <c r="J612" s="17" t="s">
        <v>2347</v>
      </c>
      <c r="K612" s="20"/>
    </row>
    <row r="613" ht="15.75" customHeight="1">
      <c r="A613" s="14" t="s">
        <v>97</v>
      </c>
      <c r="B613" s="15">
        <v>495.0</v>
      </c>
      <c r="C613" s="17" t="s">
        <v>2351</v>
      </c>
      <c r="D613" s="17" t="s">
        <v>75</v>
      </c>
      <c r="E613" s="17" t="s">
        <v>1001</v>
      </c>
      <c r="F613" s="16" t="s">
        <v>357</v>
      </c>
      <c r="G613" s="16" t="s">
        <v>864</v>
      </c>
      <c r="H613" s="17" t="s">
        <v>992</v>
      </c>
      <c r="I613" s="16" t="s">
        <v>74</v>
      </c>
      <c r="J613" s="17" t="s">
        <v>2347</v>
      </c>
      <c r="K613" s="20"/>
    </row>
    <row r="614" ht="15.75" customHeight="1">
      <c r="A614" s="14" t="s">
        <v>97</v>
      </c>
      <c r="B614" s="15">
        <v>496.0</v>
      </c>
      <c r="C614" s="17" t="s">
        <v>1028</v>
      </c>
      <c r="D614" s="17" t="s">
        <v>2352</v>
      </c>
      <c r="E614" s="17" t="s">
        <v>1012</v>
      </c>
      <c r="F614" s="16" t="s">
        <v>68</v>
      </c>
      <c r="G614" s="16" t="s">
        <v>72</v>
      </c>
      <c r="H614" s="17" t="s">
        <v>1014</v>
      </c>
      <c r="I614" s="16" t="s">
        <v>74</v>
      </c>
      <c r="J614" s="17" t="s">
        <v>2347</v>
      </c>
      <c r="K614" s="20"/>
    </row>
    <row r="615" ht="15.75" customHeight="1">
      <c r="A615" s="14" t="s">
        <v>97</v>
      </c>
      <c r="B615" s="15">
        <v>497.0</v>
      </c>
      <c r="C615" s="17" t="s">
        <v>2030</v>
      </c>
      <c r="D615" s="17" t="s">
        <v>2353</v>
      </c>
      <c r="E615" s="17" t="s">
        <v>386</v>
      </c>
      <c r="F615" s="16" t="s">
        <v>68</v>
      </c>
      <c r="G615" s="16" t="s">
        <v>371</v>
      </c>
      <c r="H615" s="17" t="s">
        <v>1018</v>
      </c>
      <c r="I615" s="16" t="s">
        <v>74</v>
      </c>
      <c r="J615" s="17" t="s">
        <v>2347</v>
      </c>
      <c r="K615" s="20"/>
    </row>
    <row r="616" ht="15.75" customHeight="1">
      <c r="A616" s="14" t="s">
        <v>97</v>
      </c>
      <c r="B616" s="15">
        <v>498.0</v>
      </c>
      <c r="C616" s="17" t="s">
        <v>2028</v>
      </c>
      <c r="D616" s="17" t="s">
        <v>2354</v>
      </c>
      <c r="E616" s="17" t="s">
        <v>441</v>
      </c>
      <c r="F616" s="16" t="s">
        <v>68</v>
      </c>
      <c r="G616" s="16" t="s">
        <v>371</v>
      </c>
      <c r="H616" s="17" t="s">
        <v>1022</v>
      </c>
      <c r="I616" s="16" t="s">
        <v>74</v>
      </c>
      <c r="J616" s="17" t="s">
        <v>2347</v>
      </c>
      <c r="K616" s="20"/>
    </row>
    <row r="617" ht="15.75" customHeight="1">
      <c r="A617" s="14" t="s">
        <v>97</v>
      </c>
      <c r="B617" s="15">
        <v>499.0</v>
      </c>
      <c r="C617" s="17" t="s">
        <v>1614</v>
      </c>
      <c r="D617" s="17" t="s">
        <v>2355</v>
      </c>
      <c r="E617" s="17" t="s">
        <v>386</v>
      </c>
      <c r="F617" s="16" t="s">
        <v>68</v>
      </c>
      <c r="G617" s="16" t="s">
        <v>371</v>
      </c>
      <c r="H617" s="17" t="s">
        <v>2356</v>
      </c>
      <c r="I617" s="16" t="s">
        <v>74</v>
      </c>
      <c r="J617" s="17" t="s">
        <v>1027</v>
      </c>
      <c r="K617" s="20"/>
    </row>
    <row r="618" ht="15.75" customHeight="1">
      <c r="A618" s="14" t="s">
        <v>97</v>
      </c>
      <c r="B618" s="15">
        <v>500.0</v>
      </c>
      <c r="C618" s="17" t="s">
        <v>1824</v>
      </c>
      <c r="D618" s="17" t="s">
        <v>1656</v>
      </c>
      <c r="E618" s="17" t="s">
        <v>392</v>
      </c>
      <c r="F618" s="16" t="s">
        <v>68</v>
      </c>
      <c r="G618" s="16" t="s">
        <v>371</v>
      </c>
      <c r="H618" s="17" t="s">
        <v>2356</v>
      </c>
      <c r="I618" s="16" t="s">
        <v>74</v>
      </c>
      <c r="J618" s="17" t="s">
        <v>1027</v>
      </c>
      <c r="K618" s="20"/>
    </row>
    <row r="619" ht="15.75" customHeight="1">
      <c r="A619" s="14" t="s">
        <v>97</v>
      </c>
      <c r="B619" s="15">
        <v>501.0</v>
      </c>
      <c r="C619" s="17" t="s">
        <v>1023</v>
      </c>
      <c r="D619" s="17" t="s">
        <v>1969</v>
      </c>
      <c r="E619" s="17" t="s">
        <v>1034</v>
      </c>
      <c r="F619" s="16" t="s">
        <v>181</v>
      </c>
      <c r="G619" s="16" t="s">
        <v>72</v>
      </c>
      <c r="H619" s="17" t="s">
        <v>2356</v>
      </c>
      <c r="I619" s="16" t="s">
        <v>74</v>
      </c>
      <c r="J619" s="17" t="s">
        <v>1027</v>
      </c>
      <c r="K619" s="20"/>
    </row>
    <row r="620" ht="15.75" customHeight="1">
      <c r="A620" s="14" t="s">
        <v>97</v>
      </c>
      <c r="B620" s="15">
        <v>502.0</v>
      </c>
      <c r="C620" s="17" t="s">
        <v>2357</v>
      </c>
      <c r="D620" s="17" t="s">
        <v>1472</v>
      </c>
      <c r="E620" s="17" t="s">
        <v>1037</v>
      </c>
      <c r="F620" s="16" t="s">
        <v>68</v>
      </c>
      <c r="G620" s="16" t="s">
        <v>72</v>
      </c>
      <c r="H620" s="17" t="s">
        <v>2356</v>
      </c>
      <c r="I620" s="16" t="s">
        <v>74</v>
      </c>
      <c r="J620" s="17" t="s">
        <v>1027</v>
      </c>
      <c r="K620" s="20"/>
    </row>
    <row r="621" ht="15.75" customHeight="1">
      <c r="A621" s="14" t="s">
        <v>97</v>
      </c>
      <c r="B621" s="15">
        <v>503.0</v>
      </c>
      <c r="C621" s="17" t="s">
        <v>1616</v>
      </c>
      <c r="D621" s="17" t="s">
        <v>2358</v>
      </c>
      <c r="E621" s="17" t="s">
        <v>386</v>
      </c>
      <c r="F621" s="16" t="s">
        <v>68</v>
      </c>
      <c r="G621" s="16" t="s">
        <v>371</v>
      </c>
      <c r="H621" s="17" t="s">
        <v>2359</v>
      </c>
      <c r="I621" s="16" t="s">
        <v>74</v>
      </c>
      <c r="J621" s="17" t="s">
        <v>1027</v>
      </c>
      <c r="K621" s="20"/>
    </row>
    <row r="622" ht="15.75" customHeight="1">
      <c r="A622" s="14" t="s">
        <v>97</v>
      </c>
      <c r="B622" s="15">
        <v>504.0</v>
      </c>
      <c r="C622" s="17" t="s">
        <v>1825</v>
      </c>
      <c r="D622" s="17" t="s">
        <v>1695</v>
      </c>
      <c r="E622" s="17" t="s">
        <v>392</v>
      </c>
      <c r="F622" s="16" t="s">
        <v>68</v>
      </c>
      <c r="G622" s="16" t="s">
        <v>371</v>
      </c>
      <c r="H622" s="17" t="s">
        <v>2359</v>
      </c>
      <c r="I622" s="16" t="s">
        <v>74</v>
      </c>
      <c r="J622" s="17" t="s">
        <v>1027</v>
      </c>
      <c r="K622" s="20"/>
    </row>
    <row r="623" ht="15.75" customHeight="1">
      <c r="A623" s="14" t="s">
        <v>97</v>
      </c>
      <c r="B623" s="15">
        <v>505.0</v>
      </c>
      <c r="C623" s="17" t="s">
        <v>2005</v>
      </c>
      <c r="D623" s="17" t="s">
        <v>1501</v>
      </c>
      <c r="E623" s="17" t="s">
        <v>1034</v>
      </c>
      <c r="F623" s="16" t="s">
        <v>181</v>
      </c>
      <c r="G623" s="16" t="s">
        <v>72</v>
      </c>
      <c r="H623" s="17" t="s">
        <v>2359</v>
      </c>
      <c r="I623" s="16" t="s">
        <v>74</v>
      </c>
      <c r="J623" s="17" t="s">
        <v>1027</v>
      </c>
      <c r="K623" s="20"/>
    </row>
    <row r="624" ht="15.75" customHeight="1">
      <c r="A624" s="14" t="s">
        <v>97</v>
      </c>
      <c r="B624" s="15">
        <v>506.0</v>
      </c>
      <c r="C624" s="17" t="s">
        <v>2007</v>
      </c>
      <c r="D624" s="17" t="s">
        <v>1989</v>
      </c>
      <c r="E624" s="17" t="s">
        <v>1037</v>
      </c>
      <c r="F624" s="16" t="s">
        <v>68</v>
      </c>
      <c r="G624" s="16" t="s">
        <v>72</v>
      </c>
      <c r="H624" s="17" t="s">
        <v>2359</v>
      </c>
      <c r="I624" s="16" t="s">
        <v>74</v>
      </c>
      <c r="J624" s="17" t="s">
        <v>1027</v>
      </c>
      <c r="K624" s="20"/>
    </row>
    <row r="625" ht="15.75" customHeight="1">
      <c r="A625" s="14" t="s">
        <v>97</v>
      </c>
      <c r="B625" s="15">
        <v>507.0</v>
      </c>
      <c r="C625" s="17" t="s">
        <v>1619</v>
      </c>
      <c r="D625" s="17" t="s">
        <v>2360</v>
      </c>
      <c r="E625" s="17" t="s">
        <v>386</v>
      </c>
      <c r="F625" s="16" t="s">
        <v>68</v>
      </c>
      <c r="G625" s="16" t="s">
        <v>371</v>
      </c>
      <c r="H625" s="17" t="s">
        <v>2361</v>
      </c>
      <c r="I625" s="16" t="s">
        <v>74</v>
      </c>
      <c r="J625" s="17" t="s">
        <v>1027</v>
      </c>
      <c r="K625" s="20"/>
    </row>
    <row r="626" ht="15.75" customHeight="1">
      <c r="A626" s="14" t="s">
        <v>97</v>
      </c>
      <c r="B626" s="15">
        <v>508.0</v>
      </c>
      <c r="C626" s="17" t="s">
        <v>2015</v>
      </c>
      <c r="D626" s="17" t="s">
        <v>2362</v>
      </c>
      <c r="E626" s="17" t="s">
        <v>392</v>
      </c>
      <c r="F626" s="16" t="s">
        <v>68</v>
      </c>
      <c r="G626" s="16" t="s">
        <v>371</v>
      </c>
      <c r="H626" s="17" t="s">
        <v>2361</v>
      </c>
      <c r="I626" s="16" t="s">
        <v>74</v>
      </c>
      <c r="J626" s="17" t="s">
        <v>1027</v>
      </c>
      <c r="K626" s="20"/>
    </row>
    <row r="627" ht="15.75" customHeight="1">
      <c r="A627" s="14" t="s">
        <v>97</v>
      </c>
      <c r="B627" s="15">
        <v>509.0</v>
      </c>
      <c r="C627" s="17" t="s">
        <v>2009</v>
      </c>
      <c r="D627" s="17" t="s">
        <v>1167</v>
      </c>
      <c r="E627" s="17" t="s">
        <v>1034</v>
      </c>
      <c r="F627" s="16" t="s">
        <v>181</v>
      </c>
      <c r="G627" s="16" t="s">
        <v>72</v>
      </c>
      <c r="H627" s="17" t="s">
        <v>2361</v>
      </c>
      <c r="I627" s="16" t="s">
        <v>74</v>
      </c>
      <c r="J627" s="17" t="s">
        <v>1027</v>
      </c>
      <c r="K627" s="20"/>
    </row>
    <row r="628" ht="15.75" customHeight="1">
      <c r="A628" s="14" t="s">
        <v>97</v>
      </c>
      <c r="B628" s="15">
        <v>510.0</v>
      </c>
      <c r="C628" s="17" t="s">
        <v>2012</v>
      </c>
      <c r="D628" s="17" t="s">
        <v>1203</v>
      </c>
      <c r="E628" s="17" t="s">
        <v>1037</v>
      </c>
      <c r="F628" s="16" t="s">
        <v>68</v>
      </c>
      <c r="G628" s="16" t="s">
        <v>72</v>
      </c>
      <c r="H628" s="17" t="s">
        <v>2361</v>
      </c>
      <c r="I628" s="16" t="s">
        <v>74</v>
      </c>
      <c r="J628" s="17" t="s">
        <v>1027</v>
      </c>
      <c r="K628" s="20"/>
    </row>
    <row r="629" ht="15.75" customHeight="1">
      <c r="A629" s="14" t="s">
        <v>97</v>
      </c>
      <c r="B629" s="15">
        <v>511.0</v>
      </c>
      <c r="C629" s="17" t="s">
        <v>1620</v>
      </c>
      <c r="D629" s="17" t="s">
        <v>2363</v>
      </c>
      <c r="E629" s="17" t="s">
        <v>386</v>
      </c>
      <c r="F629" s="16" t="s">
        <v>68</v>
      </c>
      <c r="G629" s="16" t="s">
        <v>371</v>
      </c>
      <c r="H629" s="17" t="s">
        <v>2364</v>
      </c>
      <c r="I629" s="16" t="s">
        <v>74</v>
      </c>
      <c r="J629" s="17" t="s">
        <v>1027</v>
      </c>
      <c r="K629" s="20"/>
    </row>
    <row r="630" ht="15.75" customHeight="1">
      <c r="A630" s="14" t="s">
        <v>97</v>
      </c>
      <c r="B630" s="15">
        <v>512.0</v>
      </c>
      <c r="C630" s="17" t="s">
        <v>2026</v>
      </c>
      <c r="D630" s="17" t="s">
        <v>1210</v>
      </c>
      <c r="E630" s="17" t="s">
        <v>392</v>
      </c>
      <c r="F630" s="16" t="s">
        <v>68</v>
      </c>
      <c r="G630" s="16" t="s">
        <v>371</v>
      </c>
      <c r="H630" s="17" t="s">
        <v>2364</v>
      </c>
      <c r="I630" s="16" t="s">
        <v>74</v>
      </c>
      <c r="J630" s="17" t="s">
        <v>1027</v>
      </c>
      <c r="K630" s="20"/>
    </row>
    <row r="631" ht="15.75" customHeight="1">
      <c r="A631" s="14" t="s">
        <v>97</v>
      </c>
      <c r="B631" s="15">
        <v>513.0</v>
      </c>
      <c r="C631" s="17" t="s">
        <v>2020</v>
      </c>
      <c r="D631" s="17" t="s">
        <v>1167</v>
      </c>
      <c r="E631" s="17" t="s">
        <v>1034</v>
      </c>
      <c r="F631" s="16" t="s">
        <v>181</v>
      </c>
      <c r="G631" s="16" t="s">
        <v>72</v>
      </c>
      <c r="H631" s="17" t="s">
        <v>2364</v>
      </c>
      <c r="I631" s="16" t="s">
        <v>74</v>
      </c>
      <c r="J631" s="17" t="s">
        <v>1027</v>
      </c>
      <c r="K631" s="20"/>
    </row>
    <row r="632" ht="15.75" customHeight="1">
      <c r="A632" s="14" t="s">
        <v>97</v>
      </c>
      <c r="B632" s="15">
        <v>514.0</v>
      </c>
      <c r="C632" s="17" t="s">
        <v>2024</v>
      </c>
      <c r="D632" s="17" t="s">
        <v>1203</v>
      </c>
      <c r="E632" s="17" t="s">
        <v>1037</v>
      </c>
      <c r="F632" s="16" t="s">
        <v>68</v>
      </c>
      <c r="G632" s="16" t="s">
        <v>72</v>
      </c>
      <c r="H632" s="17" t="s">
        <v>2364</v>
      </c>
      <c r="I632" s="16" t="s">
        <v>74</v>
      </c>
      <c r="J632" s="17" t="s">
        <v>1027</v>
      </c>
      <c r="K632" s="20"/>
    </row>
    <row r="633" ht="15.75" customHeight="1">
      <c r="A633" s="14" t="s">
        <v>97</v>
      </c>
      <c r="B633" s="15">
        <v>515.0</v>
      </c>
      <c r="C633" s="17" t="s">
        <v>570</v>
      </c>
      <c r="D633" s="17" t="s">
        <v>2365</v>
      </c>
      <c r="E633" s="17" t="s">
        <v>441</v>
      </c>
      <c r="F633" s="16" t="s">
        <v>68</v>
      </c>
      <c r="G633" s="16" t="s">
        <v>371</v>
      </c>
      <c r="H633" s="17" t="s">
        <v>2366</v>
      </c>
      <c r="I633" s="16" t="s">
        <v>74</v>
      </c>
      <c r="J633" s="17" t="s">
        <v>1230</v>
      </c>
      <c r="K633" s="20"/>
    </row>
    <row r="634" ht="15.75" customHeight="1">
      <c r="A634" s="14" t="s">
        <v>97</v>
      </c>
      <c r="B634" s="15">
        <v>516.0</v>
      </c>
      <c r="C634" s="17" t="s">
        <v>1995</v>
      </c>
      <c r="D634" s="17" t="s">
        <v>2367</v>
      </c>
      <c r="E634" s="17" t="s">
        <v>441</v>
      </c>
      <c r="F634" s="16" t="s">
        <v>68</v>
      </c>
      <c r="G634" s="16" t="s">
        <v>371</v>
      </c>
      <c r="H634" s="17" t="s">
        <v>2368</v>
      </c>
      <c r="I634" s="16" t="s">
        <v>74</v>
      </c>
      <c r="J634" s="17" t="s">
        <v>1230</v>
      </c>
      <c r="K634" s="20"/>
    </row>
    <row r="635" ht="15.75" customHeight="1">
      <c r="A635" s="14" t="s">
        <v>97</v>
      </c>
      <c r="B635" s="15">
        <v>517.0</v>
      </c>
      <c r="C635" s="17" t="s">
        <v>1996</v>
      </c>
      <c r="D635" s="17" t="s">
        <v>2369</v>
      </c>
      <c r="E635" s="17" t="s">
        <v>441</v>
      </c>
      <c r="F635" s="16" t="s">
        <v>68</v>
      </c>
      <c r="G635" s="16" t="s">
        <v>371</v>
      </c>
      <c r="H635" s="17" t="s">
        <v>2370</v>
      </c>
      <c r="I635" s="16" t="s">
        <v>74</v>
      </c>
      <c r="J635" s="17" t="s">
        <v>1230</v>
      </c>
      <c r="K635" s="20"/>
    </row>
    <row r="636" ht="15.75" customHeight="1">
      <c r="A636" s="14" t="s">
        <v>97</v>
      </c>
      <c r="B636" s="15">
        <v>518.0</v>
      </c>
      <c r="C636" s="17" t="s">
        <v>1998</v>
      </c>
      <c r="D636" s="17" t="s">
        <v>2371</v>
      </c>
      <c r="E636" s="17" t="s">
        <v>441</v>
      </c>
      <c r="F636" s="16" t="s">
        <v>68</v>
      </c>
      <c r="G636" s="16" t="s">
        <v>371</v>
      </c>
      <c r="H636" s="17" t="s">
        <v>2372</v>
      </c>
      <c r="I636" s="16" t="s">
        <v>74</v>
      </c>
      <c r="J636" s="17" t="s">
        <v>1230</v>
      </c>
      <c r="K636" s="20"/>
    </row>
    <row r="637" ht="15.75" customHeight="1">
      <c r="A637" s="14" t="s">
        <v>97</v>
      </c>
      <c r="B637" s="15">
        <v>519.0</v>
      </c>
      <c r="C637" s="17" t="s">
        <v>1999</v>
      </c>
      <c r="D637" s="17" t="s">
        <v>2373</v>
      </c>
      <c r="E637" s="17" t="s">
        <v>441</v>
      </c>
      <c r="F637" s="16" t="s">
        <v>68</v>
      </c>
      <c r="G637" s="16" t="s">
        <v>371</v>
      </c>
      <c r="H637" s="17" t="s">
        <v>2374</v>
      </c>
      <c r="I637" s="16" t="s">
        <v>74</v>
      </c>
      <c r="J637" s="17" t="s">
        <v>1230</v>
      </c>
      <c r="K637" s="20"/>
    </row>
    <row r="638" ht="15.75" customHeight="1">
      <c r="A638" s="14" t="s">
        <v>97</v>
      </c>
      <c r="B638" s="15">
        <v>520.0</v>
      </c>
      <c r="C638" s="17" t="s">
        <v>2001</v>
      </c>
      <c r="D638" s="17" t="s">
        <v>2375</v>
      </c>
      <c r="E638" s="17" t="s">
        <v>441</v>
      </c>
      <c r="F638" s="16" t="s">
        <v>68</v>
      </c>
      <c r="G638" s="16" t="s">
        <v>371</v>
      </c>
      <c r="H638" s="17" t="s">
        <v>2376</v>
      </c>
      <c r="I638" s="16" t="s">
        <v>74</v>
      </c>
      <c r="J638" s="17" t="s">
        <v>1230</v>
      </c>
      <c r="K638" s="20"/>
    </row>
    <row r="639" ht="15.75" customHeight="1">
      <c r="A639" s="14" t="s">
        <v>97</v>
      </c>
      <c r="B639" s="15">
        <v>521.0</v>
      </c>
      <c r="C639" s="17" t="s">
        <v>2003</v>
      </c>
      <c r="D639" s="17" t="s">
        <v>2377</v>
      </c>
      <c r="E639" s="17" t="s">
        <v>441</v>
      </c>
      <c r="F639" s="16" t="s">
        <v>68</v>
      </c>
      <c r="G639" s="16" t="s">
        <v>371</v>
      </c>
      <c r="H639" s="17" t="s">
        <v>2378</v>
      </c>
      <c r="I639" s="16" t="s">
        <v>74</v>
      </c>
      <c r="J639" s="17" t="s">
        <v>1230</v>
      </c>
      <c r="K639" s="20"/>
    </row>
    <row r="640" ht="15.75" customHeight="1">
      <c r="A640" s="14" t="s">
        <v>97</v>
      </c>
      <c r="B640" s="15">
        <v>522.0</v>
      </c>
      <c r="C640" s="17" t="s">
        <v>421</v>
      </c>
      <c r="D640" s="17" t="s">
        <v>2379</v>
      </c>
      <c r="E640" s="17" t="s">
        <v>369</v>
      </c>
      <c r="F640" s="16" t="s">
        <v>68</v>
      </c>
      <c r="G640" s="16" t="s">
        <v>371</v>
      </c>
      <c r="H640" s="17" t="s">
        <v>949</v>
      </c>
      <c r="I640" s="16" t="s">
        <v>74</v>
      </c>
      <c r="J640" s="17" t="s">
        <v>2380</v>
      </c>
      <c r="K640" s="20"/>
    </row>
    <row r="641" ht="15.75" customHeight="1">
      <c r="A641" s="14" t="s">
        <v>97</v>
      </c>
      <c r="B641" s="15">
        <v>523.0</v>
      </c>
      <c r="C641" s="17" t="s">
        <v>1031</v>
      </c>
      <c r="D641" s="17" t="s">
        <v>2381</v>
      </c>
      <c r="E641" s="17" t="s">
        <v>956</v>
      </c>
      <c r="F641" s="16" t="s">
        <v>68</v>
      </c>
      <c r="G641" s="16" t="s">
        <v>864</v>
      </c>
      <c r="H641" s="17" t="s">
        <v>959</v>
      </c>
      <c r="I641" s="16" t="s">
        <v>74</v>
      </c>
      <c r="J641" s="17" t="s">
        <v>2380</v>
      </c>
      <c r="K641" s="20"/>
    </row>
    <row r="642" ht="15.75" customHeight="1">
      <c r="A642" s="14" t="s">
        <v>97</v>
      </c>
      <c r="B642" s="15">
        <v>524.0</v>
      </c>
      <c r="C642" s="17" t="s">
        <v>2031</v>
      </c>
      <c r="D642" s="17" t="s">
        <v>2382</v>
      </c>
      <c r="E642" s="17" t="s">
        <v>967</v>
      </c>
      <c r="F642" s="16" t="s">
        <v>68</v>
      </c>
      <c r="G642" s="16" t="s">
        <v>970</v>
      </c>
      <c r="H642" s="17" t="s">
        <v>972</v>
      </c>
      <c r="I642" s="16" t="s">
        <v>74</v>
      </c>
      <c r="J642" s="17" t="s">
        <v>2380</v>
      </c>
      <c r="K642" s="20"/>
    </row>
    <row r="643" ht="15.75" customHeight="1">
      <c r="A643" s="14" t="s">
        <v>97</v>
      </c>
      <c r="B643" s="15">
        <v>525.0</v>
      </c>
      <c r="C643" s="17" t="s">
        <v>2034</v>
      </c>
      <c r="D643" s="17" t="s">
        <v>1803</v>
      </c>
      <c r="E643" s="17" t="s">
        <v>979</v>
      </c>
      <c r="F643" s="16" t="s">
        <v>68</v>
      </c>
      <c r="G643" s="16" t="s">
        <v>864</v>
      </c>
      <c r="H643" s="17" t="s">
        <v>983</v>
      </c>
      <c r="I643" s="16" t="s">
        <v>74</v>
      </c>
      <c r="J643" s="17" t="s">
        <v>2380</v>
      </c>
      <c r="K643" s="20"/>
    </row>
    <row r="644" ht="15.75" customHeight="1">
      <c r="A644" s="14" t="s">
        <v>97</v>
      </c>
      <c r="B644" s="15">
        <v>526.0</v>
      </c>
      <c r="C644" s="17" t="s">
        <v>2035</v>
      </c>
      <c r="D644" s="17" t="s">
        <v>930</v>
      </c>
      <c r="E644" s="17" t="s">
        <v>990</v>
      </c>
      <c r="F644" s="16" t="s">
        <v>357</v>
      </c>
      <c r="G644" s="16" t="s">
        <v>864</v>
      </c>
      <c r="H644" s="17" t="s">
        <v>992</v>
      </c>
      <c r="I644" s="16" t="s">
        <v>74</v>
      </c>
      <c r="J644" s="17" t="s">
        <v>2380</v>
      </c>
      <c r="K644" s="20"/>
    </row>
    <row r="645" ht="15.75" customHeight="1">
      <c r="A645" s="14" t="s">
        <v>97</v>
      </c>
      <c r="B645" s="15">
        <v>527.0</v>
      </c>
      <c r="C645" s="17" t="s">
        <v>2044</v>
      </c>
      <c r="D645" s="17" t="s">
        <v>75</v>
      </c>
      <c r="E645" s="17" t="s">
        <v>1001</v>
      </c>
      <c r="F645" s="16" t="s">
        <v>357</v>
      </c>
      <c r="G645" s="16" t="s">
        <v>864</v>
      </c>
      <c r="H645" s="17" t="s">
        <v>992</v>
      </c>
      <c r="I645" s="16" t="s">
        <v>74</v>
      </c>
      <c r="J645" s="17" t="s">
        <v>2380</v>
      </c>
      <c r="K645" s="20"/>
    </row>
    <row r="646" ht="15.75" customHeight="1">
      <c r="A646" s="14" t="s">
        <v>97</v>
      </c>
      <c r="B646" s="15">
        <v>528.0</v>
      </c>
      <c r="C646" s="17" t="s">
        <v>2068</v>
      </c>
      <c r="D646" s="17" t="s">
        <v>2316</v>
      </c>
      <c r="E646" s="17" t="s">
        <v>1012</v>
      </c>
      <c r="F646" s="16" t="s">
        <v>68</v>
      </c>
      <c r="G646" s="16" t="s">
        <v>72</v>
      </c>
      <c r="H646" s="17" t="s">
        <v>1014</v>
      </c>
      <c r="I646" s="16" t="s">
        <v>74</v>
      </c>
      <c r="J646" s="17" t="s">
        <v>2380</v>
      </c>
      <c r="K646" s="20"/>
    </row>
    <row r="647" ht="15.75" customHeight="1">
      <c r="A647" s="14" t="s">
        <v>97</v>
      </c>
      <c r="B647" s="15">
        <v>529.0</v>
      </c>
      <c r="C647" s="17" t="s">
        <v>2066</v>
      </c>
      <c r="D647" s="17" t="s">
        <v>2383</v>
      </c>
      <c r="E647" s="17" t="s">
        <v>441</v>
      </c>
      <c r="F647" s="16" t="s">
        <v>68</v>
      </c>
      <c r="G647" s="16" t="s">
        <v>371</v>
      </c>
      <c r="H647" s="17" t="s">
        <v>1022</v>
      </c>
      <c r="I647" s="16" t="s">
        <v>74</v>
      </c>
      <c r="J647" s="17" t="s">
        <v>2380</v>
      </c>
      <c r="K647" s="20"/>
    </row>
    <row r="648" ht="15.75" customHeight="1">
      <c r="A648" s="14" t="s">
        <v>97</v>
      </c>
      <c r="B648" s="15">
        <v>530.0</v>
      </c>
      <c r="C648" s="17" t="s">
        <v>1622</v>
      </c>
      <c r="D648" s="17" t="s">
        <v>2384</v>
      </c>
      <c r="E648" s="17" t="s">
        <v>386</v>
      </c>
      <c r="F648" s="16" t="s">
        <v>68</v>
      </c>
      <c r="G648" s="16" t="s">
        <v>371</v>
      </c>
      <c r="H648" s="17" t="s">
        <v>2385</v>
      </c>
      <c r="I648" s="16" t="s">
        <v>74</v>
      </c>
      <c r="J648" s="17" t="s">
        <v>1027</v>
      </c>
      <c r="K648" s="20"/>
    </row>
    <row r="649" ht="15.75" customHeight="1">
      <c r="A649" s="14" t="s">
        <v>97</v>
      </c>
      <c r="B649" s="15">
        <v>531.0</v>
      </c>
      <c r="C649" s="17" t="s">
        <v>1826</v>
      </c>
      <c r="D649" s="17" t="s">
        <v>2386</v>
      </c>
      <c r="E649" s="17" t="s">
        <v>392</v>
      </c>
      <c r="F649" s="16" t="s">
        <v>68</v>
      </c>
      <c r="G649" s="16" t="s">
        <v>371</v>
      </c>
      <c r="H649" s="17" t="s">
        <v>2385</v>
      </c>
      <c r="I649" s="16" t="s">
        <v>74</v>
      </c>
      <c r="J649" s="17" t="s">
        <v>1027</v>
      </c>
      <c r="K649" s="20"/>
    </row>
    <row r="650" ht="15.75" customHeight="1">
      <c r="A650" s="14" t="s">
        <v>97</v>
      </c>
      <c r="B650" s="15">
        <v>532.0</v>
      </c>
      <c r="C650" s="17" t="s">
        <v>2048</v>
      </c>
      <c r="D650" s="17" t="s">
        <v>1835</v>
      </c>
      <c r="E650" s="17" t="s">
        <v>1034</v>
      </c>
      <c r="F650" s="16" t="s">
        <v>181</v>
      </c>
      <c r="G650" s="16" t="s">
        <v>72</v>
      </c>
      <c r="H650" s="17" t="s">
        <v>2385</v>
      </c>
      <c r="I650" s="16" t="s">
        <v>74</v>
      </c>
      <c r="J650" s="17" t="s">
        <v>1027</v>
      </c>
      <c r="K650" s="20"/>
    </row>
    <row r="651" ht="15.75" customHeight="1">
      <c r="A651" s="14" t="s">
        <v>97</v>
      </c>
      <c r="B651" s="15">
        <v>533.0</v>
      </c>
      <c r="C651" s="17" t="s">
        <v>2050</v>
      </c>
      <c r="D651" s="17" t="s">
        <v>2186</v>
      </c>
      <c r="E651" s="17" t="s">
        <v>1037</v>
      </c>
      <c r="F651" s="16" t="s">
        <v>68</v>
      </c>
      <c r="G651" s="16" t="s">
        <v>72</v>
      </c>
      <c r="H651" s="17" t="s">
        <v>2385</v>
      </c>
      <c r="I651" s="16" t="s">
        <v>74</v>
      </c>
      <c r="J651" s="17" t="s">
        <v>1027</v>
      </c>
      <c r="K651" s="20"/>
    </row>
    <row r="652" ht="15.75" customHeight="1">
      <c r="A652" s="14" t="s">
        <v>97</v>
      </c>
      <c r="B652" s="15">
        <v>534.0</v>
      </c>
      <c r="C652" s="17" t="s">
        <v>1624</v>
      </c>
      <c r="D652" s="17" t="s">
        <v>2387</v>
      </c>
      <c r="E652" s="17" t="s">
        <v>386</v>
      </c>
      <c r="F652" s="16" t="s">
        <v>68</v>
      </c>
      <c r="G652" s="16" t="s">
        <v>371</v>
      </c>
      <c r="H652" s="17" t="s">
        <v>2388</v>
      </c>
      <c r="I652" s="16" t="s">
        <v>74</v>
      </c>
      <c r="J652" s="17" t="s">
        <v>1027</v>
      </c>
      <c r="K652" s="20"/>
    </row>
    <row r="653" ht="15.75" customHeight="1">
      <c r="A653" s="14" t="s">
        <v>97</v>
      </c>
      <c r="B653" s="15">
        <v>535.0</v>
      </c>
      <c r="C653" s="17" t="s">
        <v>1827</v>
      </c>
      <c r="D653" s="17" t="s">
        <v>2180</v>
      </c>
      <c r="E653" s="17" t="s">
        <v>392</v>
      </c>
      <c r="F653" s="16" t="s">
        <v>68</v>
      </c>
      <c r="G653" s="16" t="s">
        <v>371</v>
      </c>
      <c r="H653" s="17" t="s">
        <v>2388</v>
      </c>
      <c r="I653" s="16" t="s">
        <v>74</v>
      </c>
      <c r="J653" s="17" t="s">
        <v>1027</v>
      </c>
      <c r="K653" s="20"/>
    </row>
    <row r="654" ht="15.75" customHeight="1">
      <c r="A654" s="14" t="s">
        <v>97</v>
      </c>
      <c r="B654" s="15">
        <v>536.0</v>
      </c>
      <c r="C654" s="17" t="s">
        <v>2052</v>
      </c>
      <c r="D654" s="17" t="s">
        <v>1214</v>
      </c>
      <c r="E654" s="17" t="s">
        <v>1034</v>
      </c>
      <c r="F654" s="16" t="s">
        <v>181</v>
      </c>
      <c r="G654" s="16" t="s">
        <v>72</v>
      </c>
      <c r="H654" s="17" t="s">
        <v>2388</v>
      </c>
      <c r="I654" s="16" t="s">
        <v>74</v>
      </c>
      <c r="J654" s="17" t="s">
        <v>1027</v>
      </c>
      <c r="K654" s="20"/>
    </row>
    <row r="655" ht="15.75" customHeight="1">
      <c r="A655" s="14" t="s">
        <v>97</v>
      </c>
      <c r="B655" s="15">
        <v>537.0</v>
      </c>
      <c r="C655" s="17" t="s">
        <v>1632</v>
      </c>
      <c r="D655" s="17" t="s">
        <v>2389</v>
      </c>
      <c r="E655" s="17" t="s">
        <v>386</v>
      </c>
      <c r="F655" s="16" t="s">
        <v>68</v>
      </c>
      <c r="G655" s="16" t="s">
        <v>371</v>
      </c>
      <c r="H655" s="17" t="s">
        <v>2390</v>
      </c>
      <c r="I655" s="16" t="s">
        <v>74</v>
      </c>
      <c r="J655" s="17" t="s">
        <v>1027</v>
      </c>
      <c r="K655" s="20"/>
    </row>
    <row r="656" ht="15.75" customHeight="1">
      <c r="A656" s="14" t="s">
        <v>97</v>
      </c>
      <c r="B656" s="15">
        <v>538.0</v>
      </c>
      <c r="C656" s="17" t="s">
        <v>1830</v>
      </c>
      <c r="D656" s="17" t="s">
        <v>2391</v>
      </c>
      <c r="E656" s="17" t="s">
        <v>392</v>
      </c>
      <c r="F656" s="16" t="s">
        <v>68</v>
      </c>
      <c r="G656" s="16" t="s">
        <v>371</v>
      </c>
      <c r="H656" s="17" t="s">
        <v>2390</v>
      </c>
      <c r="I656" s="16" t="s">
        <v>74</v>
      </c>
      <c r="J656" s="17" t="s">
        <v>1027</v>
      </c>
      <c r="K656" s="20"/>
    </row>
    <row r="657" ht="15.75" customHeight="1">
      <c r="A657" s="14" t="s">
        <v>97</v>
      </c>
      <c r="B657" s="15">
        <v>539.0</v>
      </c>
      <c r="C657" s="17" t="s">
        <v>2056</v>
      </c>
      <c r="D657" s="17" t="s">
        <v>1214</v>
      </c>
      <c r="E657" s="17" t="s">
        <v>1034</v>
      </c>
      <c r="F657" s="16" t="s">
        <v>181</v>
      </c>
      <c r="G657" s="16" t="s">
        <v>72</v>
      </c>
      <c r="H657" s="17" t="s">
        <v>2390</v>
      </c>
      <c r="I657" s="16" t="s">
        <v>74</v>
      </c>
      <c r="J657" s="17" t="s">
        <v>1027</v>
      </c>
      <c r="K657" s="20"/>
    </row>
    <row r="658" ht="15.75" customHeight="1">
      <c r="A658" s="14" t="s">
        <v>97</v>
      </c>
      <c r="B658" s="15">
        <v>540.0</v>
      </c>
      <c r="C658" s="17" t="s">
        <v>1638</v>
      </c>
      <c r="D658" s="17" t="s">
        <v>2392</v>
      </c>
      <c r="E658" s="17" t="s">
        <v>386</v>
      </c>
      <c r="F658" s="16" t="s">
        <v>68</v>
      </c>
      <c r="G658" s="16" t="s">
        <v>371</v>
      </c>
      <c r="H658" s="17" t="s">
        <v>2393</v>
      </c>
      <c r="I658" s="16" t="s">
        <v>74</v>
      </c>
      <c r="J658" s="17" t="s">
        <v>1027</v>
      </c>
      <c r="K658" s="20"/>
    </row>
    <row r="659" ht="15.75" customHeight="1">
      <c r="A659" s="14" t="s">
        <v>97</v>
      </c>
      <c r="B659" s="15">
        <v>541.0</v>
      </c>
      <c r="C659" s="17" t="s">
        <v>1832</v>
      </c>
      <c r="D659" s="17" t="s">
        <v>2391</v>
      </c>
      <c r="E659" s="17" t="s">
        <v>392</v>
      </c>
      <c r="F659" s="16" t="s">
        <v>68</v>
      </c>
      <c r="G659" s="16" t="s">
        <v>371</v>
      </c>
      <c r="H659" s="17" t="s">
        <v>2393</v>
      </c>
      <c r="I659" s="16" t="s">
        <v>74</v>
      </c>
      <c r="J659" s="17" t="s">
        <v>1027</v>
      </c>
      <c r="K659" s="20"/>
    </row>
    <row r="660" ht="15.75" customHeight="1">
      <c r="A660" s="14" t="s">
        <v>97</v>
      </c>
      <c r="B660" s="15">
        <v>542.0</v>
      </c>
      <c r="C660" s="17" t="s">
        <v>2059</v>
      </c>
      <c r="D660" s="17" t="s">
        <v>1214</v>
      </c>
      <c r="E660" s="17" t="s">
        <v>1034</v>
      </c>
      <c r="F660" s="16" t="s">
        <v>181</v>
      </c>
      <c r="G660" s="16" t="s">
        <v>72</v>
      </c>
      <c r="H660" s="17" t="s">
        <v>2393</v>
      </c>
      <c r="I660" s="16" t="s">
        <v>74</v>
      </c>
      <c r="J660" s="17" t="s">
        <v>1027</v>
      </c>
      <c r="K660" s="20"/>
    </row>
    <row r="661" ht="15.75" customHeight="1">
      <c r="A661" s="14" t="s">
        <v>97</v>
      </c>
      <c r="B661" s="15">
        <v>543.0</v>
      </c>
      <c r="C661" s="17" t="s">
        <v>1643</v>
      </c>
      <c r="D661" s="17" t="s">
        <v>2394</v>
      </c>
      <c r="E661" s="17" t="s">
        <v>386</v>
      </c>
      <c r="F661" s="16" t="s">
        <v>68</v>
      </c>
      <c r="G661" s="16" t="s">
        <v>371</v>
      </c>
      <c r="H661" s="17" t="s">
        <v>2395</v>
      </c>
      <c r="I661" s="16" t="s">
        <v>74</v>
      </c>
      <c r="J661" s="17" t="s">
        <v>1027</v>
      </c>
      <c r="K661" s="20"/>
    </row>
    <row r="662" ht="15.75" customHeight="1">
      <c r="A662" s="14" t="s">
        <v>97</v>
      </c>
      <c r="B662" s="15">
        <v>544.0</v>
      </c>
      <c r="C662" s="17" t="s">
        <v>1833</v>
      </c>
      <c r="D662" s="17" t="s">
        <v>1514</v>
      </c>
      <c r="E662" s="17" t="s">
        <v>392</v>
      </c>
      <c r="F662" s="16" t="s">
        <v>68</v>
      </c>
      <c r="G662" s="16" t="s">
        <v>371</v>
      </c>
      <c r="H662" s="17" t="s">
        <v>2395</v>
      </c>
      <c r="I662" s="16" t="s">
        <v>74</v>
      </c>
      <c r="J662" s="17" t="s">
        <v>1027</v>
      </c>
      <c r="K662" s="20"/>
    </row>
    <row r="663" ht="15.75" customHeight="1">
      <c r="A663" s="14" t="s">
        <v>97</v>
      </c>
      <c r="B663" s="15">
        <v>545.0</v>
      </c>
      <c r="C663" s="17" t="s">
        <v>2063</v>
      </c>
      <c r="D663" s="17" t="s">
        <v>1214</v>
      </c>
      <c r="E663" s="17" t="s">
        <v>1034</v>
      </c>
      <c r="F663" s="16" t="s">
        <v>181</v>
      </c>
      <c r="G663" s="16" t="s">
        <v>72</v>
      </c>
      <c r="H663" s="17" t="s">
        <v>2395</v>
      </c>
      <c r="I663" s="16" t="s">
        <v>74</v>
      </c>
      <c r="J663" s="17" t="s">
        <v>1027</v>
      </c>
      <c r="K663" s="20"/>
    </row>
    <row r="664" ht="15.75" customHeight="1">
      <c r="A664" s="14" t="s">
        <v>97</v>
      </c>
      <c r="B664" s="15">
        <v>546.0</v>
      </c>
      <c r="C664" s="17" t="s">
        <v>2037</v>
      </c>
      <c r="D664" s="17" t="s">
        <v>2396</v>
      </c>
      <c r="E664" s="17" t="s">
        <v>441</v>
      </c>
      <c r="F664" s="16" t="s">
        <v>68</v>
      </c>
      <c r="G664" s="16" t="s">
        <v>371</v>
      </c>
      <c r="H664" s="17" t="s">
        <v>2397</v>
      </c>
      <c r="I664" s="16" t="s">
        <v>74</v>
      </c>
      <c r="J664" s="17" t="s">
        <v>1230</v>
      </c>
      <c r="K664" s="20"/>
    </row>
    <row r="665" ht="15.75" customHeight="1">
      <c r="A665" s="14" t="s">
        <v>97</v>
      </c>
      <c r="B665" s="15">
        <v>547.0</v>
      </c>
      <c r="C665" s="17" t="s">
        <v>2039</v>
      </c>
      <c r="D665" s="17" t="s">
        <v>2398</v>
      </c>
      <c r="E665" s="17" t="s">
        <v>441</v>
      </c>
      <c r="F665" s="16" t="s">
        <v>68</v>
      </c>
      <c r="G665" s="16" t="s">
        <v>371</v>
      </c>
      <c r="H665" s="17" t="s">
        <v>2399</v>
      </c>
      <c r="I665" s="16" t="s">
        <v>74</v>
      </c>
      <c r="J665" s="17" t="s">
        <v>1230</v>
      </c>
      <c r="K665" s="20"/>
    </row>
    <row r="666" ht="15.75" customHeight="1">
      <c r="A666" s="14" t="s">
        <v>97</v>
      </c>
      <c r="B666" s="15">
        <v>548.0</v>
      </c>
      <c r="C666" s="17" t="s">
        <v>2040</v>
      </c>
      <c r="D666" s="17" t="s">
        <v>2400</v>
      </c>
      <c r="E666" s="17" t="s">
        <v>441</v>
      </c>
      <c r="F666" s="16" t="s">
        <v>68</v>
      </c>
      <c r="G666" s="16" t="s">
        <v>371</v>
      </c>
      <c r="H666" s="17" t="s">
        <v>2401</v>
      </c>
      <c r="I666" s="16" t="s">
        <v>74</v>
      </c>
      <c r="J666" s="17" t="s">
        <v>1230</v>
      </c>
      <c r="K666" s="20"/>
    </row>
    <row r="667" ht="15.75" customHeight="1">
      <c r="A667" s="14" t="s">
        <v>97</v>
      </c>
      <c r="B667" s="15">
        <v>549.0</v>
      </c>
      <c r="C667" s="17" t="s">
        <v>2042</v>
      </c>
      <c r="D667" s="17" t="s">
        <v>2402</v>
      </c>
      <c r="E667" s="17" t="s">
        <v>441</v>
      </c>
      <c r="F667" s="16" t="s">
        <v>68</v>
      </c>
      <c r="G667" s="16" t="s">
        <v>371</v>
      </c>
      <c r="H667" s="17" t="s">
        <v>2403</v>
      </c>
      <c r="I667" s="16" t="s">
        <v>74</v>
      </c>
      <c r="J667" s="17" t="s">
        <v>1230</v>
      </c>
      <c r="K667" s="20"/>
    </row>
    <row r="668" ht="15.75" customHeight="1">
      <c r="A668" s="14" t="s">
        <v>97</v>
      </c>
      <c r="B668" s="15">
        <v>550.0</v>
      </c>
      <c r="C668" s="17" t="s">
        <v>425</v>
      </c>
      <c r="D668" s="17" t="s">
        <v>2404</v>
      </c>
      <c r="E668" s="17" t="s">
        <v>369</v>
      </c>
      <c r="F668" s="16" t="s">
        <v>68</v>
      </c>
      <c r="G668" s="16" t="s">
        <v>371</v>
      </c>
      <c r="H668" s="17" t="s">
        <v>949</v>
      </c>
      <c r="I668" s="16" t="s">
        <v>74</v>
      </c>
      <c r="J668" s="17" t="s">
        <v>2405</v>
      </c>
      <c r="K668" s="20"/>
    </row>
    <row r="669" ht="15.75" customHeight="1">
      <c r="A669" s="14" t="s">
        <v>97</v>
      </c>
      <c r="B669" s="15">
        <v>551.0</v>
      </c>
      <c r="C669" s="17" t="s">
        <v>1837</v>
      </c>
      <c r="D669" s="17" t="s">
        <v>1613</v>
      </c>
      <c r="E669" s="17" t="s">
        <v>956</v>
      </c>
      <c r="F669" s="16" t="s">
        <v>68</v>
      </c>
      <c r="G669" s="16" t="s">
        <v>864</v>
      </c>
      <c r="H669" s="17" t="s">
        <v>959</v>
      </c>
      <c r="I669" s="16" t="s">
        <v>74</v>
      </c>
      <c r="J669" s="17" t="s">
        <v>2405</v>
      </c>
      <c r="K669" s="20"/>
    </row>
    <row r="670" ht="15.75" customHeight="1">
      <c r="A670" s="14" t="s">
        <v>97</v>
      </c>
      <c r="B670" s="15">
        <v>552.0</v>
      </c>
      <c r="C670" s="17" t="s">
        <v>2069</v>
      </c>
      <c r="D670" s="17" t="s">
        <v>2406</v>
      </c>
      <c r="E670" s="17" t="s">
        <v>967</v>
      </c>
      <c r="F670" s="16" t="s">
        <v>68</v>
      </c>
      <c r="G670" s="16" t="s">
        <v>970</v>
      </c>
      <c r="H670" s="17" t="s">
        <v>972</v>
      </c>
      <c r="I670" s="16" t="s">
        <v>74</v>
      </c>
      <c r="J670" s="17" t="s">
        <v>2405</v>
      </c>
      <c r="K670" s="20"/>
    </row>
    <row r="671" ht="15.75" customHeight="1">
      <c r="A671" s="14" t="s">
        <v>97</v>
      </c>
      <c r="B671" s="15">
        <v>553.0</v>
      </c>
      <c r="C671" s="17" t="s">
        <v>2072</v>
      </c>
      <c r="D671" s="17" t="s">
        <v>1884</v>
      </c>
      <c r="E671" s="17" t="s">
        <v>979</v>
      </c>
      <c r="F671" s="16" t="s">
        <v>68</v>
      </c>
      <c r="G671" s="16" t="s">
        <v>864</v>
      </c>
      <c r="H671" s="17" t="s">
        <v>983</v>
      </c>
      <c r="I671" s="16" t="s">
        <v>74</v>
      </c>
      <c r="J671" s="17" t="s">
        <v>2405</v>
      </c>
      <c r="K671" s="20"/>
    </row>
    <row r="672" ht="15.75" customHeight="1">
      <c r="A672" s="14" t="s">
        <v>97</v>
      </c>
      <c r="B672" s="15">
        <v>554.0</v>
      </c>
      <c r="C672" s="17" t="s">
        <v>2074</v>
      </c>
      <c r="D672" s="17" t="s">
        <v>930</v>
      </c>
      <c r="E672" s="17" t="s">
        <v>990</v>
      </c>
      <c r="F672" s="16" t="s">
        <v>357</v>
      </c>
      <c r="G672" s="16" t="s">
        <v>864</v>
      </c>
      <c r="H672" s="17" t="s">
        <v>992</v>
      </c>
      <c r="I672" s="16" t="s">
        <v>74</v>
      </c>
      <c r="J672" s="17" t="s">
        <v>2405</v>
      </c>
      <c r="K672" s="20"/>
    </row>
    <row r="673" ht="15.75" customHeight="1">
      <c r="A673" s="14" t="s">
        <v>97</v>
      </c>
      <c r="B673" s="15">
        <v>555.0</v>
      </c>
      <c r="C673" s="17" t="s">
        <v>2081</v>
      </c>
      <c r="D673" s="17" t="s">
        <v>75</v>
      </c>
      <c r="E673" s="17" t="s">
        <v>1001</v>
      </c>
      <c r="F673" s="16" t="s">
        <v>357</v>
      </c>
      <c r="G673" s="16" t="s">
        <v>864</v>
      </c>
      <c r="H673" s="17" t="s">
        <v>992</v>
      </c>
      <c r="I673" s="16" t="s">
        <v>74</v>
      </c>
      <c r="J673" s="17" t="s">
        <v>2405</v>
      </c>
      <c r="K673" s="20"/>
    </row>
    <row r="674" ht="15.75" customHeight="1">
      <c r="A674" s="14" t="s">
        <v>97</v>
      </c>
      <c r="B674" s="15">
        <v>556.0</v>
      </c>
      <c r="C674" s="17" t="s">
        <v>2099</v>
      </c>
      <c r="D674" s="17" t="s">
        <v>2407</v>
      </c>
      <c r="E674" s="17" t="s">
        <v>1012</v>
      </c>
      <c r="F674" s="16" t="s">
        <v>68</v>
      </c>
      <c r="G674" s="16" t="s">
        <v>72</v>
      </c>
      <c r="H674" s="17" t="s">
        <v>1014</v>
      </c>
      <c r="I674" s="16" t="s">
        <v>74</v>
      </c>
      <c r="J674" s="17" t="s">
        <v>2405</v>
      </c>
      <c r="K674" s="20"/>
    </row>
    <row r="675" ht="15.75" customHeight="1">
      <c r="A675" s="14" t="s">
        <v>97</v>
      </c>
      <c r="B675" s="15">
        <v>557.0</v>
      </c>
      <c r="C675" s="17" t="s">
        <v>2096</v>
      </c>
      <c r="D675" s="17" t="s">
        <v>2408</v>
      </c>
      <c r="E675" s="17" t="s">
        <v>441</v>
      </c>
      <c r="F675" s="16" t="s">
        <v>68</v>
      </c>
      <c r="G675" s="16" t="s">
        <v>371</v>
      </c>
      <c r="H675" s="17" t="s">
        <v>1022</v>
      </c>
      <c r="I675" s="16" t="s">
        <v>74</v>
      </c>
      <c r="J675" s="17" t="s">
        <v>2405</v>
      </c>
      <c r="K675" s="20"/>
    </row>
    <row r="676" ht="15.75" customHeight="1">
      <c r="A676" s="14" t="s">
        <v>97</v>
      </c>
      <c r="B676" s="15">
        <v>558.0</v>
      </c>
      <c r="C676" s="17" t="s">
        <v>1649</v>
      </c>
      <c r="D676" s="17" t="s">
        <v>2409</v>
      </c>
      <c r="E676" s="17" t="s">
        <v>386</v>
      </c>
      <c r="F676" s="16" t="s">
        <v>68</v>
      </c>
      <c r="G676" s="16" t="s">
        <v>371</v>
      </c>
      <c r="H676" s="17" t="s">
        <v>2410</v>
      </c>
      <c r="I676" s="16" t="s">
        <v>74</v>
      </c>
      <c r="J676" s="17" t="s">
        <v>1027</v>
      </c>
      <c r="K676" s="20"/>
    </row>
    <row r="677" ht="15.75" customHeight="1">
      <c r="A677" s="14" t="s">
        <v>97</v>
      </c>
      <c r="B677" s="15">
        <v>559.0</v>
      </c>
      <c r="C677" s="17" t="s">
        <v>1836</v>
      </c>
      <c r="D677" s="17" t="s">
        <v>1811</v>
      </c>
      <c r="E677" s="17" t="s">
        <v>392</v>
      </c>
      <c r="F677" s="16" t="s">
        <v>68</v>
      </c>
      <c r="G677" s="16" t="s">
        <v>371</v>
      </c>
      <c r="H677" s="17" t="s">
        <v>2410</v>
      </c>
      <c r="I677" s="16" t="s">
        <v>74</v>
      </c>
      <c r="J677" s="17" t="s">
        <v>1027</v>
      </c>
      <c r="K677" s="20"/>
    </row>
    <row r="678" ht="15.75" customHeight="1">
      <c r="A678" s="14" t="s">
        <v>97</v>
      </c>
      <c r="B678" s="15">
        <v>560.0</v>
      </c>
      <c r="C678" s="17" t="s">
        <v>2083</v>
      </c>
      <c r="D678" s="17" t="s">
        <v>1501</v>
      </c>
      <c r="E678" s="17" t="s">
        <v>1034</v>
      </c>
      <c r="F678" s="16" t="s">
        <v>181</v>
      </c>
      <c r="G678" s="16" t="s">
        <v>72</v>
      </c>
      <c r="H678" s="17" t="s">
        <v>2410</v>
      </c>
      <c r="I678" s="16" t="s">
        <v>74</v>
      </c>
      <c r="J678" s="17" t="s">
        <v>1027</v>
      </c>
      <c r="K678" s="20"/>
    </row>
    <row r="679" ht="15.75" customHeight="1">
      <c r="A679" s="14" t="s">
        <v>97</v>
      </c>
      <c r="B679" s="15">
        <v>561.0</v>
      </c>
      <c r="C679" s="17" t="s">
        <v>2085</v>
      </c>
      <c r="D679" s="17" t="s">
        <v>2186</v>
      </c>
      <c r="E679" s="17" t="s">
        <v>1037</v>
      </c>
      <c r="F679" s="16" t="s">
        <v>68</v>
      </c>
      <c r="G679" s="16" t="s">
        <v>72</v>
      </c>
      <c r="H679" s="17" t="s">
        <v>2410</v>
      </c>
      <c r="I679" s="16" t="s">
        <v>74</v>
      </c>
      <c r="J679" s="17" t="s">
        <v>1027</v>
      </c>
      <c r="K679" s="20"/>
    </row>
    <row r="680" ht="15.75" customHeight="1">
      <c r="A680" s="14" t="s">
        <v>97</v>
      </c>
      <c r="B680" s="15">
        <v>562.0</v>
      </c>
      <c r="C680" s="17" t="s">
        <v>2087</v>
      </c>
      <c r="D680" s="17" t="s">
        <v>2411</v>
      </c>
      <c r="E680" s="17" t="s">
        <v>386</v>
      </c>
      <c r="F680" s="16" t="s">
        <v>68</v>
      </c>
      <c r="G680" s="16" t="s">
        <v>371</v>
      </c>
      <c r="H680" s="17" t="s">
        <v>2412</v>
      </c>
      <c r="I680" s="16" t="s">
        <v>74</v>
      </c>
      <c r="J680" s="17" t="s">
        <v>1027</v>
      </c>
      <c r="K680" s="20"/>
    </row>
    <row r="681" ht="15.75" customHeight="1">
      <c r="A681" s="14" t="s">
        <v>97</v>
      </c>
      <c r="B681" s="15">
        <v>563.0</v>
      </c>
      <c r="C681" s="17" t="s">
        <v>2090</v>
      </c>
      <c r="D681" s="17" t="s">
        <v>1747</v>
      </c>
      <c r="E681" s="17" t="s">
        <v>392</v>
      </c>
      <c r="F681" s="16" t="s">
        <v>68</v>
      </c>
      <c r="G681" s="16" t="s">
        <v>371</v>
      </c>
      <c r="H681" s="17" t="s">
        <v>2412</v>
      </c>
      <c r="I681" s="16" t="s">
        <v>74</v>
      </c>
      <c r="J681" s="17" t="s">
        <v>1027</v>
      </c>
      <c r="K681" s="20"/>
    </row>
    <row r="682" ht="15.75" customHeight="1">
      <c r="A682" s="14" t="s">
        <v>97</v>
      </c>
      <c r="B682" s="15">
        <v>564.0</v>
      </c>
      <c r="C682" s="17" t="s">
        <v>2089</v>
      </c>
      <c r="D682" s="17" t="s">
        <v>1214</v>
      </c>
      <c r="E682" s="17" t="s">
        <v>1034</v>
      </c>
      <c r="F682" s="16" t="s">
        <v>181</v>
      </c>
      <c r="G682" s="16" t="s">
        <v>72</v>
      </c>
      <c r="H682" s="17" t="s">
        <v>2412</v>
      </c>
      <c r="I682" s="16" t="s">
        <v>74</v>
      </c>
      <c r="J682" s="17" t="s">
        <v>1027</v>
      </c>
      <c r="K682" s="20"/>
    </row>
    <row r="683" ht="15.75" customHeight="1">
      <c r="A683" s="14" t="s">
        <v>97</v>
      </c>
      <c r="B683" s="15">
        <v>565.0</v>
      </c>
      <c r="C683" s="17" t="s">
        <v>2092</v>
      </c>
      <c r="D683" s="17" t="s">
        <v>2413</v>
      </c>
      <c r="E683" s="17" t="s">
        <v>386</v>
      </c>
      <c r="F683" s="16" t="s">
        <v>68</v>
      </c>
      <c r="G683" s="16" t="s">
        <v>371</v>
      </c>
      <c r="H683" s="17" t="s">
        <v>2414</v>
      </c>
      <c r="I683" s="16" t="s">
        <v>74</v>
      </c>
      <c r="J683" s="17" t="s">
        <v>1027</v>
      </c>
      <c r="K683" s="20"/>
    </row>
    <row r="684" ht="15.75" customHeight="1">
      <c r="A684" s="14" t="s">
        <v>97</v>
      </c>
      <c r="B684" s="15">
        <v>566.0</v>
      </c>
      <c r="C684" s="17" t="s">
        <v>2094</v>
      </c>
      <c r="D684" s="17" t="s">
        <v>1747</v>
      </c>
      <c r="E684" s="17" t="s">
        <v>392</v>
      </c>
      <c r="F684" s="16" t="s">
        <v>68</v>
      </c>
      <c r="G684" s="16" t="s">
        <v>371</v>
      </c>
      <c r="H684" s="17" t="s">
        <v>2414</v>
      </c>
      <c r="I684" s="16" t="s">
        <v>74</v>
      </c>
      <c r="J684" s="17" t="s">
        <v>1027</v>
      </c>
      <c r="K684" s="20"/>
    </row>
    <row r="685" ht="15.75" customHeight="1">
      <c r="A685" s="14" t="s">
        <v>97</v>
      </c>
      <c r="B685" s="15">
        <v>567.0</v>
      </c>
      <c r="C685" s="17" t="s">
        <v>2093</v>
      </c>
      <c r="D685" s="17" t="s">
        <v>1214</v>
      </c>
      <c r="E685" s="17" t="s">
        <v>1034</v>
      </c>
      <c r="F685" s="16" t="s">
        <v>181</v>
      </c>
      <c r="G685" s="16" t="s">
        <v>72</v>
      </c>
      <c r="H685" s="17" t="s">
        <v>2414</v>
      </c>
      <c r="I685" s="16" t="s">
        <v>74</v>
      </c>
      <c r="J685" s="17" t="s">
        <v>1027</v>
      </c>
      <c r="K685" s="20"/>
    </row>
    <row r="686" ht="15.75" customHeight="1">
      <c r="A686" s="14" t="s">
        <v>97</v>
      </c>
      <c r="B686" s="15">
        <v>568.0</v>
      </c>
      <c r="C686" s="17" t="s">
        <v>2075</v>
      </c>
      <c r="D686" s="17" t="s">
        <v>2415</v>
      </c>
      <c r="E686" s="17" t="s">
        <v>441</v>
      </c>
      <c r="F686" s="16" t="s">
        <v>68</v>
      </c>
      <c r="G686" s="16" t="s">
        <v>371</v>
      </c>
      <c r="H686" s="17" t="s">
        <v>2416</v>
      </c>
      <c r="I686" s="16" t="s">
        <v>74</v>
      </c>
      <c r="J686" s="17" t="s">
        <v>1230</v>
      </c>
      <c r="K686" s="20"/>
    </row>
    <row r="687" ht="15.75" customHeight="1">
      <c r="A687" s="14" t="s">
        <v>97</v>
      </c>
      <c r="B687" s="15">
        <v>569.0</v>
      </c>
      <c r="C687" s="17" t="s">
        <v>2076</v>
      </c>
      <c r="D687" s="17" t="s">
        <v>2417</v>
      </c>
      <c r="E687" s="17" t="s">
        <v>441</v>
      </c>
      <c r="F687" s="16" t="s">
        <v>68</v>
      </c>
      <c r="G687" s="16" t="s">
        <v>371</v>
      </c>
      <c r="H687" s="17" t="s">
        <v>2418</v>
      </c>
      <c r="I687" s="16" t="s">
        <v>74</v>
      </c>
      <c r="J687" s="17" t="s">
        <v>1230</v>
      </c>
      <c r="K687" s="20"/>
    </row>
    <row r="688" ht="15.75" customHeight="1">
      <c r="A688" s="14" t="s">
        <v>97</v>
      </c>
      <c r="B688" s="15">
        <v>570.0</v>
      </c>
      <c r="C688" s="17" t="s">
        <v>2078</v>
      </c>
      <c r="D688" s="17" t="s">
        <v>2419</v>
      </c>
      <c r="E688" s="17" t="s">
        <v>441</v>
      </c>
      <c r="F688" s="16" t="s">
        <v>68</v>
      </c>
      <c r="G688" s="16" t="s">
        <v>371</v>
      </c>
      <c r="H688" s="17" t="s">
        <v>2420</v>
      </c>
      <c r="I688" s="16" t="s">
        <v>74</v>
      </c>
      <c r="J688" s="17" t="s">
        <v>1230</v>
      </c>
      <c r="K688" s="20"/>
    </row>
    <row r="689" ht="15.75" customHeight="1">
      <c r="A689" s="14" t="s">
        <v>97</v>
      </c>
      <c r="B689" s="15">
        <v>571.0</v>
      </c>
      <c r="C689" s="17" t="s">
        <v>2079</v>
      </c>
      <c r="D689" s="17" t="s">
        <v>2421</v>
      </c>
      <c r="E689" s="17" t="s">
        <v>441</v>
      </c>
      <c r="F689" s="16" t="s">
        <v>68</v>
      </c>
      <c r="G689" s="16" t="s">
        <v>371</v>
      </c>
      <c r="H689" s="17" t="s">
        <v>2422</v>
      </c>
      <c r="I689" s="16" t="s">
        <v>74</v>
      </c>
      <c r="J689" s="17" t="s">
        <v>1230</v>
      </c>
      <c r="K689" s="20"/>
    </row>
    <row r="690" ht="15.75" customHeight="1">
      <c r="A690" s="14" t="s">
        <v>97</v>
      </c>
      <c r="B690" s="15">
        <v>572.0</v>
      </c>
      <c r="C690" s="17" t="s">
        <v>429</v>
      </c>
      <c r="D690" s="17" t="s">
        <v>2423</v>
      </c>
      <c r="E690" s="17" t="s">
        <v>369</v>
      </c>
      <c r="F690" s="16" t="s">
        <v>68</v>
      </c>
      <c r="G690" s="16" t="s">
        <v>371</v>
      </c>
      <c r="H690" s="17" t="s">
        <v>949</v>
      </c>
      <c r="I690" s="16" t="s">
        <v>74</v>
      </c>
      <c r="J690" s="17" t="s">
        <v>2424</v>
      </c>
      <c r="K690" s="20"/>
    </row>
    <row r="691" ht="15.75" customHeight="1">
      <c r="A691" s="14" t="s">
        <v>97</v>
      </c>
      <c r="B691" s="15">
        <v>573.0</v>
      </c>
      <c r="C691" s="17" t="s">
        <v>1842</v>
      </c>
      <c r="D691" s="17" t="s">
        <v>1613</v>
      </c>
      <c r="E691" s="17" t="s">
        <v>956</v>
      </c>
      <c r="F691" s="16" t="s">
        <v>68</v>
      </c>
      <c r="G691" s="16" t="s">
        <v>864</v>
      </c>
      <c r="H691" s="17" t="s">
        <v>959</v>
      </c>
      <c r="I691" s="16" t="s">
        <v>74</v>
      </c>
      <c r="J691" s="17" t="s">
        <v>2424</v>
      </c>
      <c r="K691" s="20"/>
    </row>
    <row r="692" ht="15.75" customHeight="1">
      <c r="A692" s="14" t="s">
        <v>97</v>
      </c>
      <c r="B692" s="15">
        <v>574.0</v>
      </c>
      <c r="C692" s="17" t="s">
        <v>2100</v>
      </c>
      <c r="D692" s="17" t="s">
        <v>2425</v>
      </c>
      <c r="E692" s="17" t="s">
        <v>967</v>
      </c>
      <c r="F692" s="16" t="s">
        <v>68</v>
      </c>
      <c r="G692" s="16" t="s">
        <v>970</v>
      </c>
      <c r="H692" s="17" t="s">
        <v>972</v>
      </c>
      <c r="I692" s="16" t="s">
        <v>74</v>
      </c>
      <c r="J692" s="17" t="s">
        <v>2424</v>
      </c>
      <c r="K692" s="20"/>
    </row>
    <row r="693" ht="15.75" customHeight="1">
      <c r="A693" s="14" t="s">
        <v>97</v>
      </c>
      <c r="B693" s="15">
        <v>575.0</v>
      </c>
      <c r="C693" s="17" t="s">
        <v>2102</v>
      </c>
      <c r="D693" s="17" t="s">
        <v>1884</v>
      </c>
      <c r="E693" s="17" t="s">
        <v>979</v>
      </c>
      <c r="F693" s="16" t="s">
        <v>68</v>
      </c>
      <c r="G693" s="16" t="s">
        <v>864</v>
      </c>
      <c r="H693" s="17" t="s">
        <v>983</v>
      </c>
      <c r="I693" s="16" t="s">
        <v>74</v>
      </c>
      <c r="J693" s="17" t="s">
        <v>2424</v>
      </c>
      <c r="K693" s="20"/>
    </row>
    <row r="694" ht="15.75" customHeight="1">
      <c r="A694" s="14" t="s">
        <v>97</v>
      </c>
      <c r="B694" s="15">
        <v>576.0</v>
      </c>
      <c r="C694" s="17" t="s">
        <v>2103</v>
      </c>
      <c r="D694" s="17" t="s">
        <v>930</v>
      </c>
      <c r="E694" s="17" t="s">
        <v>990</v>
      </c>
      <c r="F694" s="16" t="s">
        <v>357</v>
      </c>
      <c r="G694" s="16" t="s">
        <v>864</v>
      </c>
      <c r="H694" s="17" t="s">
        <v>992</v>
      </c>
      <c r="I694" s="16" t="s">
        <v>74</v>
      </c>
      <c r="J694" s="17" t="s">
        <v>2424</v>
      </c>
      <c r="K694" s="20"/>
    </row>
    <row r="695" ht="15.75" customHeight="1">
      <c r="A695" s="14" t="s">
        <v>97</v>
      </c>
      <c r="B695" s="15">
        <v>577.0</v>
      </c>
      <c r="C695" s="17" t="s">
        <v>2112</v>
      </c>
      <c r="D695" s="17" t="s">
        <v>75</v>
      </c>
      <c r="E695" s="17" t="s">
        <v>1001</v>
      </c>
      <c r="F695" s="16" t="s">
        <v>357</v>
      </c>
      <c r="G695" s="16" t="s">
        <v>864</v>
      </c>
      <c r="H695" s="17" t="s">
        <v>992</v>
      </c>
      <c r="I695" s="16" t="s">
        <v>74</v>
      </c>
      <c r="J695" s="17" t="s">
        <v>2424</v>
      </c>
      <c r="K695" s="20"/>
    </row>
    <row r="696" ht="15.75" customHeight="1">
      <c r="A696" s="14" t="s">
        <v>97</v>
      </c>
      <c r="B696" s="15">
        <v>578.0</v>
      </c>
      <c r="C696" s="17" t="s">
        <v>2133</v>
      </c>
      <c r="D696" s="17" t="s">
        <v>2407</v>
      </c>
      <c r="E696" s="17" t="s">
        <v>1012</v>
      </c>
      <c r="F696" s="16" t="s">
        <v>68</v>
      </c>
      <c r="G696" s="16" t="s">
        <v>72</v>
      </c>
      <c r="H696" s="17" t="s">
        <v>1014</v>
      </c>
      <c r="I696" s="16" t="s">
        <v>74</v>
      </c>
      <c r="J696" s="17" t="s">
        <v>2424</v>
      </c>
      <c r="K696" s="20"/>
    </row>
    <row r="697" ht="15.75" customHeight="1">
      <c r="A697" s="14" t="s">
        <v>97</v>
      </c>
      <c r="B697" s="15">
        <v>579.0</v>
      </c>
      <c r="C697" s="17" t="s">
        <v>1655</v>
      </c>
      <c r="D697" s="17" t="s">
        <v>2426</v>
      </c>
      <c r="E697" s="17" t="s">
        <v>386</v>
      </c>
      <c r="F697" s="16" t="s">
        <v>68</v>
      </c>
      <c r="G697" s="16" t="s">
        <v>371</v>
      </c>
      <c r="H697" s="17" t="s">
        <v>2427</v>
      </c>
      <c r="I697" s="16" t="s">
        <v>74</v>
      </c>
      <c r="J697" s="17" t="s">
        <v>1027</v>
      </c>
      <c r="K697" s="20"/>
    </row>
    <row r="698" ht="15.75" customHeight="1">
      <c r="A698" s="14" t="s">
        <v>97</v>
      </c>
      <c r="B698" s="15">
        <v>580.0</v>
      </c>
      <c r="C698" s="17" t="s">
        <v>1840</v>
      </c>
      <c r="D698" s="17" t="s">
        <v>2180</v>
      </c>
      <c r="E698" s="17" t="s">
        <v>392</v>
      </c>
      <c r="F698" s="16" t="s">
        <v>68</v>
      </c>
      <c r="G698" s="16" t="s">
        <v>371</v>
      </c>
      <c r="H698" s="17" t="s">
        <v>2427</v>
      </c>
      <c r="I698" s="16" t="s">
        <v>74</v>
      </c>
      <c r="J698" s="17" t="s">
        <v>1027</v>
      </c>
      <c r="K698" s="20"/>
    </row>
    <row r="699" ht="15.75" customHeight="1">
      <c r="A699" s="14" t="s">
        <v>97</v>
      </c>
      <c r="B699" s="15">
        <v>581.0</v>
      </c>
      <c r="C699" s="17" t="s">
        <v>2117</v>
      </c>
      <c r="D699" s="17" t="s">
        <v>1148</v>
      </c>
      <c r="E699" s="17" t="s">
        <v>1034</v>
      </c>
      <c r="F699" s="16" t="s">
        <v>181</v>
      </c>
      <c r="G699" s="16" t="s">
        <v>72</v>
      </c>
      <c r="H699" s="17" t="s">
        <v>2427</v>
      </c>
      <c r="I699" s="16" t="s">
        <v>74</v>
      </c>
      <c r="J699" s="17" t="s">
        <v>1027</v>
      </c>
      <c r="K699" s="20"/>
    </row>
    <row r="700" ht="15.75" customHeight="1">
      <c r="A700" s="14" t="s">
        <v>97</v>
      </c>
      <c r="B700" s="15">
        <v>582.0</v>
      </c>
      <c r="C700" s="17" t="s">
        <v>2119</v>
      </c>
      <c r="D700" s="17" t="s">
        <v>2186</v>
      </c>
      <c r="E700" s="17" t="s">
        <v>1037</v>
      </c>
      <c r="F700" s="16" t="s">
        <v>68</v>
      </c>
      <c r="G700" s="16" t="s">
        <v>72</v>
      </c>
      <c r="H700" s="17" t="s">
        <v>2427</v>
      </c>
      <c r="I700" s="16" t="s">
        <v>74</v>
      </c>
      <c r="J700" s="17" t="s">
        <v>1027</v>
      </c>
      <c r="K700" s="20"/>
    </row>
    <row r="701" ht="15.75" customHeight="1">
      <c r="A701" s="14" t="s">
        <v>97</v>
      </c>
      <c r="B701" s="15">
        <v>583.0</v>
      </c>
      <c r="C701" s="17" t="s">
        <v>1659</v>
      </c>
      <c r="D701" s="17" t="s">
        <v>2428</v>
      </c>
      <c r="E701" s="17" t="s">
        <v>386</v>
      </c>
      <c r="F701" s="16" t="s">
        <v>68</v>
      </c>
      <c r="G701" s="16" t="s">
        <v>371</v>
      </c>
      <c r="H701" s="17" t="s">
        <v>2429</v>
      </c>
      <c r="I701" s="16" t="s">
        <v>74</v>
      </c>
      <c r="J701" s="17" t="s">
        <v>1027</v>
      </c>
      <c r="K701" s="20"/>
    </row>
    <row r="702" ht="15.75" customHeight="1">
      <c r="A702" s="14" t="s">
        <v>97</v>
      </c>
      <c r="B702" s="15">
        <v>584.0</v>
      </c>
      <c r="C702" s="17" t="s">
        <v>2125</v>
      </c>
      <c r="D702" s="17" t="s">
        <v>1747</v>
      </c>
      <c r="E702" s="17" t="s">
        <v>392</v>
      </c>
      <c r="F702" s="16" t="s">
        <v>68</v>
      </c>
      <c r="G702" s="16" t="s">
        <v>371</v>
      </c>
      <c r="H702" s="17" t="s">
        <v>2429</v>
      </c>
      <c r="I702" s="16" t="s">
        <v>74</v>
      </c>
      <c r="J702" s="17" t="s">
        <v>1027</v>
      </c>
      <c r="K702" s="20"/>
    </row>
    <row r="703" ht="15.75" customHeight="1">
      <c r="A703" s="14" t="s">
        <v>97</v>
      </c>
      <c r="B703" s="15">
        <v>585.0</v>
      </c>
      <c r="C703" s="17" t="s">
        <v>2123</v>
      </c>
      <c r="D703" s="17" t="s">
        <v>1214</v>
      </c>
      <c r="E703" s="17" t="s">
        <v>1034</v>
      </c>
      <c r="F703" s="16" t="s">
        <v>181</v>
      </c>
      <c r="G703" s="16" t="s">
        <v>72</v>
      </c>
      <c r="H703" s="17" t="s">
        <v>2429</v>
      </c>
      <c r="I703" s="16" t="s">
        <v>74</v>
      </c>
      <c r="J703" s="17" t="s">
        <v>1027</v>
      </c>
      <c r="K703" s="20"/>
    </row>
    <row r="704" ht="15.75" customHeight="1">
      <c r="A704" s="14" t="s">
        <v>97</v>
      </c>
      <c r="B704" s="15">
        <v>586.0</v>
      </c>
      <c r="C704" s="17" t="s">
        <v>1665</v>
      </c>
      <c r="D704" s="17" t="s">
        <v>2430</v>
      </c>
      <c r="E704" s="17" t="s">
        <v>386</v>
      </c>
      <c r="F704" s="16" t="s">
        <v>68</v>
      </c>
      <c r="G704" s="16" t="s">
        <v>371</v>
      </c>
      <c r="H704" s="17" t="s">
        <v>2431</v>
      </c>
      <c r="I704" s="16" t="s">
        <v>74</v>
      </c>
      <c r="J704" s="17" t="s">
        <v>1027</v>
      </c>
      <c r="K704" s="20"/>
    </row>
    <row r="705" ht="15.75" customHeight="1">
      <c r="A705" s="14" t="s">
        <v>97</v>
      </c>
      <c r="B705" s="15">
        <v>587.0</v>
      </c>
      <c r="C705" s="17" t="s">
        <v>2130</v>
      </c>
      <c r="D705" s="17" t="s">
        <v>1747</v>
      </c>
      <c r="E705" s="17" t="s">
        <v>392</v>
      </c>
      <c r="F705" s="16" t="s">
        <v>68</v>
      </c>
      <c r="G705" s="16" t="s">
        <v>371</v>
      </c>
      <c r="H705" s="17" t="s">
        <v>2431</v>
      </c>
      <c r="I705" s="16" t="s">
        <v>74</v>
      </c>
      <c r="J705" s="17" t="s">
        <v>1027</v>
      </c>
      <c r="K705" s="20"/>
    </row>
    <row r="706" ht="15.75" customHeight="1">
      <c r="A706" s="14" t="s">
        <v>97</v>
      </c>
      <c r="B706" s="15">
        <v>588.0</v>
      </c>
      <c r="C706" s="17" t="s">
        <v>2127</v>
      </c>
      <c r="D706" s="17" t="s">
        <v>1214</v>
      </c>
      <c r="E706" s="17" t="s">
        <v>1034</v>
      </c>
      <c r="F706" s="16" t="s">
        <v>181</v>
      </c>
      <c r="G706" s="16" t="s">
        <v>72</v>
      </c>
      <c r="H706" s="17" t="s">
        <v>2431</v>
      </c>
      <c r="I706" s="16" t="s">
        <v>74</v>
      </c>
      <c r="J706" s="17" t="s">
        <v>1027</v>
      </c>
      <c r="K706" s="20"/>
    </row>
    <row r="707" ht="15.75" customHeight="1">
      <c r="A707" s="14" t="s">
        <v>97</v>
      </c>
      <c r="B707" s="15">
        <v>589.0</v>
      </c>
      <c r="C707" s="17" t="s">
        <v>2105</v>
      </c>
      <c r="D707" s="17" t="s">
        <v>2432</v>
      </c>
      <c r="E707" s="17" t="s">
        <v>441</v>
      </c>
      <c r="F707" s="16" t="s">
        <v>68</v>
      </c>
      <c r="G707" s="16" t="s">
        <v>371</v>
      </c>
      <c r="H707" s="17" t="s">
        <v>2433</v>
      </c>
      <c r="I707" s="16" t="s">
        <v>74</v>
      </c>
      <c r="J707" s="17" t="s">
        <v>1230</v>
      </c>
      <c r="K707" s="20"/>
    </row>
    <row r="708" ht="15.75" customHeight="1">
      <c r="A708" s="14" t="s">
        <v>97</v>
      </c>
      <c r="B708" s="15">
        <v>590.0</v>
      </c>
      <c r="C708" s="17" t="s">
        <v>2108</v>
      </c>
      <c r="D708" s="17" t="s">
        <v>2434</v>
      </c>
      <c r="E708" s="17" t="s">
        <v>441</v>
      </c>
      <c r="F708" s="16" t="s">
        <v>68</v>
      </c>
      <c r="G708" s="16" t="s">
        <v>371</v>
      </c>
      <c r="H708" s="17" t="s">
        <v>2435</v>
      </c>
      <c r="I708" s="16" t="s">
        <v>74</v>
      </c>
      <c r="J708" s="17" t="s">
        <v>1230</v>
      </c>
      <c r="K708" s="20"/>
    </row>
    <row r="709" ht="15.75" customHeight="1">
      <c r="A709" s="14" t="s">
        <v>97</v>
      </c>
      <c r="B709" s="15">
        <v>591.0</v>
      </c>
      <c r="C709" s="17" t="s">
        <v>2109</v>
      </c>
      <c r="D709" s="17" t="s">
        <v>2436</v>
      </c>
      <c r="E709" s="17" t="s">
        <v>441</v>
      </c>
      <c r="F709" s="16" t="s">
        <v>68</v>
      </c>
      <c r="G709" s="16" t="s">
        <v>371</v>
      </c>
      <c r="H709" s="17" t="s">
        <v>2437</v>
      </c>
      <c r="I709" s="16" t="s">
        <v>74</v>
      </c>
      <c r="J709" s="17" t="s">
        <v>1230</v>
      </c>
      <c r="K709" s="20"/>
    </row>
    <row r="710" ht="15.75" customHeight="1">
      <c r="A710" s="14" t="s">
        <v>97</v>
      </c>
      <c r="B710" s="15">
        <v>592.0</v>
      </c>
      <c r="C710" s="17" t="s">
        <v>2111</v>
      </c>
      <c r="D710" s="17" t="s">
        <v>2438</v>
      </c>
      <c r="E710" s="17" t="s">
        <v>441</v>
      </c>
      <c r="F710" s="16" t="s">
        <v>68</v>
      </c>
      <c r="G710" s="16" t="s">
        <v>371</v>
      </c>
      <c r="H710" s="17" t="s">
        <v>2439</v>
      </c>
      <c r="I710" s="16" t="s">
        <v>74</v>
      </c>
      <c r="J710" s="17" t="s">
        <v>1230</v>
      </c>
      <c r="K710" s="20"/>
    </row>
    <row r="711" ht="15.75" customHeight="1">
      <c r="A711" s="14" t="s">
        <v>97</v>
      </c>
      <c r="B711" s="15">
        <v>593.0</v>
      </c>
      <c r="C711" s="17" t="s">
        <v>2144</v>
      </c>
      <c r="D711" s="17" t="s">
        <v>2440</v>
      </c>
      <c r="E711" s="17" t="s">
        <v>369</v>
      </c>
      <c r="F711" s="16" t="s">
        <v>68</v>
      </c>
      <c r="G711" s="16" t="s">
        <v>371</v>
      </c>
      <c r="H711" s="17" t="s">
        <v>949</v>
      </c>
      <c r="I711" s="16" t="s">
        <v>74</v>
      </c>
      <c r="J711" s="17" t="s">
        <v>2441</v>
      </c>
      <c r="K711" s="20"/>
    </row>
    <row r="712" ht="15.75" customHeight="1">
      <c r="A712" s="14" t="s">
        <v>97</v>
      </c>
      <c r="B712" s="15">
        <v>594.0</v>
      </c>
      <c r="C712" s="17" t="s">
        <v>1845</v>
      </c>
      <c r="D712" s="17" t="s">
        <v>2442</v>
      </c>
      <c r="E712" s="17" t="s">
        <v>956</v>
      </c>
      <c r="F712" s="16" t="s">
        <v>68</v>
      </c>
      <c r="G712" s="16" t="s">
        <v>864</v>
      </c>
      <c r="H712" s="17" t="s">
        <v>959</v>
      </c>
      <c r="I712" s="16" t="s">
        <v>74</v>
      </c>
      <c r="J712" s="17" t="s">
        <v>2441</v>
      </c>
      <c r="K712" s="20"/>
    </row>
    <row r="713" ht="15.75" customHeight="1">
      <c r="A713" s="14" t="s">
        <v>97</v>
      </c>
      <c r="B713" s="15">
        <v>595.0</v>
      </c>
      <c r="C713" s="17" t="s">
        <v>2134</v>
      </c>
      <c r="D713" s="17" t="s">
        <v>2443</v>
      </c>
      <c r="E713" s="17" t="s">
        <v>979</v>
      </c>
      <c r="F713" s="16" t="s">
        <v>68</v>
      </c>
      <c r="G713" s="16" t="s">
        <v>864</v>
      </c>
      <c r="H713" s="17" t="s">
        <v>983</v>
      </c>
      <c r="I713" s="16" t="s">
        <v>74</v>
      </c>
      <c r="J713" s="17" t="s">
        <v>2441</v>
      </c>
      <c r="K713" s="20"/>
    </row>
    <row r="714" ht="15.75" customHeight="1">
      <c r="A714" s="14" t="s">
        <v>97</v>
      </c>
      <c r="B714" s="15">
        <v>596.0</v>
      </c>
      <c r="C714" s="17" t="s">
        <v>2136</v>
      </c>
      <c r="D714" s="17" t="s">
        <v>75</v>
      </c>
      <c r="E714" s="17" t="s">
        <v>990</v>
      </c>
      <c r="F714" s="16" t="s">
        <v>357</v>
      </c>
      <c r="G714" s="16" t="s">
        <v>864</v>
      </c>
      <c r="H714" s="17" t="s">
        <v>992</v>
      </c>
      <c r="I714" s="16" t="s">
        <v>74</v>
      </c>
      <c r="J714" s="17" t="s">
        <v>2441</v>
      </c>
      <c r="K714" s="20"/>
    </row>
    <row r="715" ht="15.75" customHeight="1">
      <c r="A715" s="14" t="s">
        <v>97</v>
      </c>
      <c r="B715" s="15">
        <v>597.0</v>
      </c>
      <c r="C715" s="17" t="s">
        <v>2141</v>
      </c>
      <c r="D715" s="17" t="s">
        <v>75</v>
      </c>
      <c r="E715" s="17" t="s">
        <v>1001</v>
      </c>
      <c r="F715" s="16" t="s">
        <v>357</v>
      </c>
      <c r="G715" s="16" t="s">
        <v>864</v>
      </c>
      <c r="H715" s="17" t="s">
        <v>992</v>
      </c>
      <c r="I715" s="16" t="s">
        <v>74</v>
      </c>
      <c r="J715" s="17" t="s">
        <v>2441</v>
      </c>
      <c r="K715" s="20"/>
    </row>
    <row r="716" ht="15.75" customHeight="1">
      <c r="A716" s="14" t="s">
        <v>97</v>
      </c>
      <c r="B716" s="15">
        <v>598.0</v>
      </c>
      <c r="C716" s="17" t="s">
        <v>2161</v>
      </c>
      <c r="D716" s="17" t="s">
        <v>2186</v>
      </c>
      <c r="E716" s="17" t="s">
        <v>1012</v>
      </c>
      <c r="F716" s="16" t="s">
        <v>68</v>
      </c>
      <c r="G716" s="16" t="s">
        <v>72</v>
      </c>
      <c r="H716" s="17" t="s">
        <v>1014</v>
      </c>
      <c r="I716" s="16" t="s">
        <v>74</v>
      </c>
      <c r="J716" s="17" t="s">
        <v>2441</v>
      </c>
      <c r="K716" s="20"/>
    </row>
    <row r="717" ht="15.75" customHeight="1">
      <c r="A717" s="14" t="s">
        <v>97</v>
      </c>
      <c r="B717" s="15">
        <v>599.0</v>
      </c>
      <c r="C717" s="17" t="s">
        <v>2147</v>
      </c>
      <c r="D717" s="17" t="s">
        <v>2444</v>
      </c>
      <c r="E717" s="17" t="s">
        <v>386</v>
      </c>
      <c r="F717" s="16" t="s">
        <v>68</v>
      </c>
      <c r="G717" s="16" t="s">
        <v>371</v>
      </c>
      <c r="H717" s="17" t="s">
        <v>2445</v>
      </c>
      <c r="I717" s="16" t="s">
        <v>74</v>
      </c>
      <c r="J717" s="17" t="s">
        <v>1027</v>
      </c>
      <c r="K717" s="20"/>
    </row>
    <row r="718" ht="15.75" customHeight="1">
      <c r="A718" s="14" t="s">
        <v>97</v>
      </c>
      <c r="B718" s="15">
        <v>600.0</v>
      </c>
      <c r="C718" s="17" t="s">
        <v>1844</v>
      </c>
      <c r="D718" s="17" t="s">
        <v>1733</v>
      </c>
      <c r="E718" s="17" t="s">
        <v>392</v>
      </c>
      <c r="F718" s="16" t="s">
        <v>68</v>
      </c>
      <c r="G718" s="16" t="s">
        <v>371</v>
      </c>
      <c r="H718" s="17" t="s">
        <v>2445</v>
      </c>
      <c r="I718" s="16" t="s">
        <v>74</v>
      </c>
      <c r="J718" s="17" t="s">
        <v>1027</v>
      </c>
      <c r="K718" s="20"/>
    </row>
    <row r="719" ht="15.75" customHeight="1">
      <c r="A719" s="14" t="s">
        <v>97</v>
      </c>
      <c r="B719" s="15">
        <v>601.0</v>
      </c>
      <c r="C719" s="17" t="s">
        <v>2150</v>
      </c>
      <c r="D719" s="17" t="s">
        <v>1214</v>
      </c>
      <c r="E719" s="17" t="s">
        <v>1034</v>
      </c>
      <c r="F719" s="16" t="s">
        <v>181</v>
      </c>
      <c r="G719" s="16" t="s">
        <v>72</v>
      </c>
      <c r="H719" s="17" t="s">
        <v>2445</v>
      </c>
      <c r="I719" s="16" t="s">
        <v>74</v>
      </c>
      <c r="J719" s="17" t="s">
        <v>1027</v>
      </c>
      <c r="K719" s="20"/>
    </row>
    <row r="720" ht="15.75" customHeight="1">
      <c r="A720" s="14" t="s">
        <v>97</v>
      </c>
      <c r="B720" s="15">
        <v>602.0</v>
      </c>
      <c r="C720" s="17" t="s">
        <v>2152</v>
      </c>
      <c r="D720" s="17" t="s">
        <v>2186</v>
      </c>
      <c r="E720" s="17" t="s">
        <v>1037</v>
      </c>
      <c r="F720" s="16" t="s">
        <v>68</v>
      </c>
      <c r="G720" s="16" t="s">
        <v>72</v>
      </c>
      <c r="H720" s="17" t="s">
        <v>2445</v>
      </c>
      <c r="I720" s="16" t="s">
        <v>74</v>
      </c>
      <c r="J720" s="17" t="s">
        <v>1027</v>
      </c>
      <c r="K720" s="20"/>
    </row>
    <row r="721" ht="15.75" customHeight="1">
      <c r="A721" s="14" t="s">
        <v>97</v>
      </c>
      <c r="B721" s="15">
        <v>603.0</v>
      </c>
      <c r="C721" s="17" t="s">
        <v>2155</v>
      </c>
      <c r="D721" s="17" t="s">
        <v>2446</v>
      </c>
      <c r="E721" s="17" t="s">
        <v>386</v>
      </c>
      <c r="F721" s="16" t="s">
        <v>68</v>
      </c>
      <c r="G721" s="16" t="s">
        <v>371</v>
      </c>
      <c r="H721" s="17" t="s">
        <v>2447</v>
      </c>
      <c r="I721" s="16" t="s">
        <v>74</v>
      </c>
      <c r="J721" s="17" t="s">
        <v>1027</v>
      </c>
      <c r="K721" s="20"/>
    </row>
    <row r="722" ht="15.75" customHeight="1">
      <c r="A722" s="14" t="s">
        <v>97</v>
      </c>
      <c r="B722" s="15">
        <v>604.0</v>
      </c>
      <c r="C722" s="17" t="s">
        <v>2158</v>
      </c>
      <c r="D722" s="17" t="s">
        <v>1747</v>
      </c>
      <c r="E722" s="17" t="s">
        <v>392</v>
      </c>
      <c r="F722" s="16" t="s">
        <v>68</v>
      </c>
      <c r="G722" s="16" t="s">
        <v>371</v>
      </c>
      <c r="H722" s="17" t="s">
        <v>2447</v>
      </c>
      <c r="I722" s="16" t="s">
        <v>74</v>
      </c>
      <c r="J722" s="17" t="s">
        <v>1027</v>
      </c>
      <c r="K722" s="20"/>
    </row>
    <row r="723" ht="15.75" customHeight="1">
      <c r="A723" s="14" t="s">
        <v>97</v>
      </c>
      <c r="B723" s="15">
        <v>605.0</v>
      </c>
      <c r="C723" s="17" t="s">
        <v>2157</v>
      </c>
      <c r="D723" s="17" t="s">
        <v>1214</v>
      </c>
      <c r="E723" s="17" t="s">
        <v>1034</v>
      </c>
      <c r="F723" s="16" t="s">
        <v>181</v>
      </c>
      <c r="G723" s="16" t="s">
        <v>72</v>
      </c>
      <c r="H723" s="17" t="s">
        <v>2447</v>
      </c>
      <c r="I723" s="16" t="s">
        <v>74</v>
      </c>
      <c r="J723" s="17" t="s">
        <v>1027</v>
      </c>
      <c r="K723" s="20"/>
    </row>
    <row r="724" ht="15.75" customHeight="1">
      <c r="A724" s="14" t="s">
        <v>97</v>
      </c>
      <c r="B724" s="15">
        <v>606.0</v>
      </c>
      <c r="C724" s="17" t="s">
        <v>2137</v>
      </c>
      <c r="D724" s="17" t="s">
        <v>2448</v>
      </c>
      <c r="E724" s="17" t="s">
        <v>441</v>
      </c>
      <c r="F724" s="16" t="s">
        <v>68</v>
      </c>
      <c r="G724" s="16" t="s">
        <v>371</v>
      </c>
      <c r="H724" s="17" t="s">
        <v>2449</v>
      </c>
      <c r="I724" s="16" t="s">
        <v>74</v>
      </c>
      <c r="J724" s="17" t="s">
        <v>1230</v>
      </c>
      <c r="K724" s="20"/>
    </row>
    <row r="725" ht="15.75" customHeight="1">
      <c r="A725" s="14" t="s">
        <v>97</v>
      </c>
      <c r="B725" s="15">
        <v>607.0</v>
      </c>
      <c r="C725" s="17" t="s">
        <v>2140</v>
      </c>
      <c r="D725" s="17" t="s">
        <v>2450</v>
      </c>
      <c r="E725" s="17" t="s">
        <v>441</v>
      </c>
      <c r="F725" s="16" t="s">
        <v>68</v>
      </c>
      <c r="G725" s="16" t="s">
        <v>371</v>
      </c>
      <c r="H725" s="17" t="s">
        <v>2451</v>
      </c>
      <c r="I725" s="16" t="s">
        <v>74</v>
      </c>
      <c r="J725" s="17" t="s">
        <v>1230</v>
      </c>
      <c r="K725" s="20"/>
    </row>
    <row r="726" ht="15.75" customHeight="1">
      <c r="A726" s="14" t="s">
        <v>97</v>
      </c>
      <c r="B726" s="15">
        <v>608.0</v>
      </c>
      <c r="C726" s="17" t="s">
        <v>2169</v>
      </c>
      <c r="D726" s="17" t="s">
        <v>2452</v>
      </c>
      <c r="E726" s="17" t="s">
        <v>369</v>
      </c>
      <c r="F726" s="16" t="s">
        <v>68</v>
      </c>
      <c r="G726" s="16" t="s">
        <v>371</v>
      </c>
      <c r="H726" s="17" t="s">
        <v>949</v>
      </c>
      <c r="I726" s="16" t="s">
        <v>74</v>
      </c>
      <c r="J726" s="17" t="s">
        <v>2453</v>
      </c>
      <c r="K726" s="20"/>
    </row>
    <row r="727" ht="15.75" customHeight="1">
      <c r="A727" s="14" t="s">
        <v>97</v>
      </c>
      <c r="B727" s="15">
        <v>609.0</v>
      </c>
      <c r="C727" s="17" t="s">
        <v>1848</v>
      </c>
      <c r="D727" s="17" t="s">
        <v>2442</v>
      </c>
      <c r="E727" s="17" t="s">
        <v>956</v>
      </c>
      <c r="F727" s="16" t="s">
        <v>68</v>
      </c>
      <c r="G727" s="16" t="s">
        <v>864</v>
      </c>
      <c r="H727" s="17" t="s">
        <v>959</v>
      </c>
      <c r="I727" s="16" t="s">
        <v>74</v>
      </c>
      <c r="J727" s="17" t="s">
        <v>2453</v>
      </c>
      <c r="K727" s="20"/>
    </row>
    <row r="728" ht="15.75" customHeight="1">
      <c r="A728" s="14" t="s">
        <v>97</v>
      </c>
      <c r="B728" s="15">
        <v>610.0</v>
      </c>
      <c r="C728" s="17" t="s">
        <v>2162</v>
      </c>
      <c r="D728" s="17" t="s">
        <v>2443</v>
      </c>
      <c r="E728" s="17" t="s">
        <v>979</v>
      </c>
      <c r="F728" s="16" t="s">
        <v>68</v>
      </c>
      <c r="G728" s="16" t="s">
        <v>864</v>
      </c>
      <c r="H728" s="17" t="s">
        <v>983</v>
      </c>
      <c r="I728" s="16" t="s">
        <v>74</v>
      </c>
      <c r="J728" s="17" t="s">
        <v>2453</v>
      </c>
      <c r="K728" s="20"/>
    </row>
    <row r="729" ht="15.75" customHeight="1">
      <c r="A729" s="14" t="s">
        <v>97</v>
      </c>
      <c r="B729" s="15">
        <v>611.0</v>
      </c>
      <c r="C729" s="17" t="s">
        <v>2164</v>
      </c>
      <c r="D729" s="17" t="s">
        <v>75</v>
      </c>
      <c r="E729" s="17" t="s">
        <v>990</v>
      </c>
      <c r="F729" s="16" t="s">
        <v>357</v>
      </c>
      <c r="G729" s="16" t="s">
        <v>864</v>
      </c>
      <c r="H729" s="17" t="s">
        <v>992</v>
      </c>
      <c r="I729" s="16" t="s">
        <v>74</v>
      </c>
      <c r="J729" s="17" t="s">
        <v>2453</v>
      </c>
      <c r="K729" s="20"/>
    </row>
    <row r="730" ht="15.75" customHeight="1">
      <c r="A730" s="14" t="s">
        <v>97</v>
      </c>
      <c r="B730" s="15">
        <v>612.0</v>
      </c>
      <c r="C730" s="17" t="s">
        <v>2167</v>
      </c>
      <c r="D730" s="17" t="s">
        <v>75</v>
      </c>
      <c r="E730" s="17" t="s">
        <v>1001</v>
      </c>
      <c r="F730" s="16" t="s">
        <v>357</v>
      </c>
      <c r="G730" s="16" t="s">
        <v>864</v>
      </c>
      <c r="H730" s="17" t="s">
        <v>992</v>
      </c>
      <c r="I730" s="16" t="s">
        <v>74</v>
      </c>
      <c r="J730" s="17" t="s">
        <v>2453</v>
      </c>
      <c r="K730" s="20"/>
    </row>
    <row r="731" ht="15.75" customHeight="1">
      <c r="A731" s="14" t="s">
        <v>97</v>
      </c>
      <c r="B731" s="15">
        <v>613.0</v>
      </c>
      <c r="C731" s="17" t="s">
        <v>2179</v>
      </c>
      <c r="D731" s="17" t="s">
        <v>2186</v>
      </c>
      <c r="E731" s="17" t="s">
        <v>1012</v>
      </c>
      <c r="F731" s="16" t="s">
        <v>68</v>
      </c>
      <c r="G731" s="16" t="s">
        <v>72</v>
      </c>
      <c r="H731" s="17" t="s">
        <v>1014</v>
      </c>
      <c r="I731" s="16" t="s">
        <v>74</v>
      </c>
      <c r="J731" s="17" t="s">
        <v>2453</v>
      </c>
      <c r="K731" s="20"/>
    </row>
    <row r="732" ht="15.75" customHeight="1">
      <c r="A732" s="14" t="s">
        <v>97</v>
      </c>
      <c r="B732" s="15">
        <v>614.0</v>
      </c>
      <c r="C732" s="17" t="s">
        <v>2172</v>
      </c>
      <c r="D732" s="17" t="s">
        <v>2454</v>
      </c>
      <c r="E732" s="17" t="s">
        <v>386</v>
      </c>
      <c r="F732" s="16" t="s">
        <v>68</v>
      </c>
      <c r="G732" s="16" t="s">
        <v>371</v>
      </c>
      <c r="H732" s="17" t="s">
        <v>2455</v>
      </c>
      <c r="I732" s="16" t="s">
        <v>74</v>
      </c>
      <c r="J732" s="17" t="s">
        <v>1027</v>
      </c>
      <c r="K732" s="20"/>
    </row>
    <row r="733" ht="15.75" customHeight="1">
      <c r="A733" s="14" t="s">
        <v>97</v>
      </c>
      <c r="B733" s="15">
        <v>615.0</v>
      </c>
      <c r="C733" s="17" t="s">
        <v>1847</v>
      </c>
      <c r="D733" s="17" t="s">
        <v>1733</v>
      </c>
      <c r="E733" s="17" t="s">
        <v>392</v>
      </c>
      <c r="F733" s="16" t="s">
        <v>68</v>
      </c>
      <c r="G733" s="16" t="s">
        <v>371</v>
      </c>
      <c r="H733" s="17" t="s">
        <v>2455</v>
      </c>
      <c r="I733" s="16" t="s">
        <v>74</v>
      </c>
      <c r="J733" s="17" t="s">
        <v>1027</v>
      </c>
      <c r="K733" s="20"/>
    </row>
    <row r="734" ht="15.75" customHeight="1">
      <c r="A734" s="14" t="s">
        <v>97</v>
      </c>
      <c r="B734" s="15">
        <v>616.0</v>
      </c>
      <c r="C734" s="17" t="s">
        <v>2173</v>
      </c>
      <c r="D734" s="17" t="s">
        <v>1214</v>
      </c>
      <c r="E734" s="17" t="s">
        <v>1034</v>
      </c>
      <c r="F734" s="16" t="s">
        <v>181</v>
      </c>
      <c r="G734" s="16" t="s">
        <v>72</v>
      </c>
      <c r="H734" s="17" t="s">
        <v>2455</v>
      </c>
      <c r="I734" s="16" t="s">
        <v>74</v>
      </c>
      <c r="J734" s="17" t="s">
        <v>1027</v>
      </c>
      <c r="K734" s="20"/>
    </row>
    <row r="735" ht="15.75" customHeight="1">
      <c r="A735" s="14" t="s">
        <v>97</v>
      </c>
      <c r="B735" s="15">
        <v>617.0</v>
      </c>
      <c r="C735" s="17" t="s">
        <v>2175</v>
      </c>
      <c r="D735" s="17" t="s">
        <v>2186</v>
      </c>
      <c r="E735" s="17" t="s">
        <v>1037</v>
      </c>
      <c r="F735" s="16" t="s">
        <v>68</v>
      </c>
      <c r="G735" s="16" t="s">
        <v>72</v>
      </c>
      <c r="H735" s="17" t="s">
        <v>2455</v>
      </c>
      <c r="I735" s="16" t="s">
        <v>74</v>
      </c>
      <c r="J735" s="17" t="s">
        <v>1027</v>
      </c>
      <c r="K735" s="20"/>
    </row>
    <row r="736" ht="15.75" customHeight="1">
      <c r="A736" s="14" t="s">
        <v>97</v>
      </c>
      <c r="B736" s="15">
        <v>618.0</v>
      </c>
      <c r="C736" s="17" t="s">
        <v>2166</v>
      </c>
      <c r="D736" s="17" t="s">
        <v>2456</v>
      </c>
      <c r="E736" s="17" t="s">
        <v>441</v>
      </c>
      <c r="F736" s="16" t="s">
        <v>68</v>
      </c>
      <c r="G736" s="16" t="s">
        <v>371</v>
      </c>
      <c r="H736" s="17" t="s">
        <v>2457</v>
      </c>
      <c r="I736" s="16" t="s">
        <v>74</v>
      </c>
      <c r="J736" s="17" t="s">
        <v>1230</v>
      </c>
      <c r="K736" s="20"/>
    </row>
    <row r="737" ht="15.75" customHeight="1">
      <c r="A737" s="14" t="s">
        <v>97</v>
      </c>
      <c r="B737" s="15">
        <v>619.0</v>
      </c>
      <c r="C737" s="17" t="s">
        <v>2191</v>
      </c>
      <c r="D737" s="17" t="s">
        <v>2458</v>
      </c>
      <c r="E737" s="17" t="s">
        <v>369</v>
      </c>
      <c r="F737" s="16" t="s">
        <v>68</v>
      </c>
      <c r="G737" s="16" t="s">
        <v>371</v>
      </c>
      <c r="H737" s="17" t="s">
        <v>949</v>
      </c>
      <c r="I737" s="16" t="s">
        <v>74</v>
      </c>
      <c r="J737" s="17" t="s">
        <v>2459</v>
      </c>
      <c r="K737" s="20"/>
    </row>
    <row r="738" ht="15.75" customHeight="1">
      <c r="A738" s="14" t="s">
        <v>97</v>
      </c>
      <c r="B738" s="15">
        <v>620.0</v>
      </c>
      <c r="C738" s="17" t="s">
        <v>1853</v>
      </c>
      <c r="D738" s="17" t="s">
        <v>2442</v>
      </c>
      <c r="E738" s="17" t="s">
        <v>956</v>
      </c>
      <c r="F738" s="16" t="s">
        <v>68</v>
      </c>
      <c r="G738" s="16" t="s">
        <v>864</v>
      </c>
      <c r="H738" s="17" t="s">
        <v>959</v>
      </c>
      <c r="I738" s="16" t="s">
        <v>74</v>
      </c>
      <c r="J738" s="17" t="s">
        <v>2459</v>
      </c>
      <c r="K738" s="20"/>
    </row>
    <row r="739" ht="15.75" customHeight="1">
      <c r="A739" s="14" t="s">
        <v>97</v>
      </c>
      <c r="B739" s="15">
        <v>621.0</v>
      </c>
      <c r="C739" s="17" t="s">
        <v>2181</v>
      </c>
      <c r="D739" s="17" t="s">
        <v>2443</v>
      </c>
      <c r="E739" s="17" t="s">
        <v>979</v>
      </c>
      <c r="F739" s="16" t="s">
        <v>68</v>
      </c>
      <c r="G739" s="16" t="s">
        <v>864</v>
      </c>
      <c r="H739" s="17" t="s">
        <v>983</v>
      </c>
      <c r="I739" s="16" t="s">
        <v>74</v>
      </c>
      <c r="J739" s="17" t="s">
        <v>2459</v>
      </c>
      <c r="K739" s="20"/>
    </row>
    <row r="740" ht="15.75" customHeight="1">
      <c r="A740" s="14" t="s">
        <v>97</v>
      </c>
      <c r="B740" s="15">
        <v>622.0</v>
      </c>
      <c r="C740" s="17" t="s">
        <v>2183</v>
      </c>
      <c r="D740" s="17" t="s">
        <v>75</v>
      </c>
      <c r="E740" s="17" t="s">
        <v>990</v>
      </c>
      <c r="F740" s="16" t="s">
        <v>357</v>
      </c>
      <c r="G740" s="16" t="s">
        <v>864</v>
      </c>
      <c r="H740" s="17" t="s">
        <v>992</v>
      </c>
      <c r="I740" s="16" t="s">
        <v>74</v>
      </c>
      <c r="J740" s="17" t="s">
        <v>2459</v>
      </c>
      <c r="K740" s="20"/>
    </row>
    <row r="741" ht="15.75" customHeight="1">
      <c r="A741" s="14" t="s">
        <v>97</v>
      </c>
      <c r="B741" s="15">
        <v>623.0</v>
      </c>
      <c r="C741" s="17" t="s">
        <v>2188</v>
      </c>
      <c r="D741" s="17" t="s">
        <v>75</v>
      </c>
      <c r="E741" s="17" t="s">
        <v>1001</v>
      </c>
      <c r="F741" s="16" t="s">
        <v>357</v>
      </c>
      <c r="G741" s="16" t="s">
        <v>864</v>
      </c>
      <c r="H741" s="17" t="s">
        <v>992</v>
      </c>
      <c r="I741" s="16" t="s">
        <v>74</v>
      </c>
      <c r="J741" s="17" t="s">
        <v>2459</v>
      </c>
      <c r="K741" s="20"/>
    </row>
    <row r="742" ht="15.75" customHeight="1">
      <c r="A742" s="14" t="s">
        <v>97</v>
      </c>
      <c r="B742" s="15">
        <v>624.0</v>
      </c>
      <c r="C742" s="17" t="s">
        <v>2199</v>
      </c>
      <c r="D742" s="17" t="s">
        <v>2186</v>
      </c>
      <c r="E742" s="17" t="s">
        <v>1012</v>
      </c>
      <c r="F742" s="16" t="s">
        <v>68</v>
      </c>
      <c r="G742" s="16" t="s">
        <v>72</v>
      </c>
      <c r="H742" s="17" t="s">
        <v>1014</v>
      </c>
      <c r="I742" s="16" t="s">
        <v>74</v>
      </c>
      <c r="J742" s="17" t="s">
        <v>2459</v>
      </c>
      <c r="K742" s="20"/>
    </row>
    <row r="743" ht="15.75" customHeight="1">
      <c r="A743" s="14" t="s">
        <v>97</v>
      </c>
      <c r="B743" s="15">
        <v>625.0</v>
      </c>
      <c r="C743" s="17" t="s">
        <v>2192</v>
      </c>
      <c r="D743" s="17" t="s">
        <v>2460</v>
      </c>
      <c r="E743" s="17" t="s">
        <v>386</v>
      </c>
      <c r="F743" s="16" t="s">
        <v>68</v>
      </c>
      <c r="G743" s="16" t="s">
        <v>371</v>
      </c>
      <c r="H743" s="17" t="s">
        <v>2461</v>
      </c>
      <c r="I743" s="16" t="s">
        <v>74</v>
      </c>
      <c r="J743" s="17" t="s">
        <v>1027</v>
      </c>
      <c r="K743" s="20"/>
    </row>
    <row r="744" ht="15.75" customHeight="1">
      <c r="A744" s="14" t="s">
        <v>97</v>
      </c>
      <c r="B744" s="15">
        <v>626.0</v>
      </c>
      <c r="C744" s="17" t="s">
        <v>1850</v>
      </c>
      <c r="D744" s="17" t="s">
        <v>1733</v>
      </c>
      <c r="E744" s="17" t="s">
        <v>392</v>
      </c>
      <c r="F744" s="16" t="s">
        <v>68</v>
      </c>
      <c r="G744" s="16" t="s">
        <v>371</v>
      </c>
      <c r="H744" s="17" t="s">
        <v>2461</v>
      </c>
      <c r="I744" s="16" t="s">
        <v>74</v>
      </c>
      <c r="J744" s="17" t="s">
        <v>1027</v>
      </c>
      <c r="K744" s="20"/>
    </row>
    <row r="745" ht="15.75" customHeight="1">
      <c r="A745" s="14" t="s">
        <v>97</v>
      </c>
      <c r="B745" s="15">
        <v>627.0</v>
      </c>
      <c r="C745" s="17" t="s">
        <v>2193</v>
      </c>
      <c r="D745" s="17" t="s">
        <v>1214</v>
      </c>
      <c r="E745" s="17" t="s">
        <v>1034</v>
      </c>
      <c r="F745" s="16" t="s">
        <v>181</v>
      </c>
      <c r="G745" s="16" t="s">
        <v>72</v>
      </c>
      <c r="H745" s="17" t="s">
        <v>2461</v>
      </c>
      <c r="I745" s="16" t="s">
        <v>74</v>
      </c>
      <c r="J745" s="17" t="s">
        <v>1027</v>
      </c>
      <c r="K745" s="20"/>
    </row>
    <row r="746" ht="15.75" customHeight="1">
      <c r="A746" s="14" t="s">
        <v>97</v>
      </c>
      <c r="B746" s="15">
        <v>628.0</v>
      </c>
      <c r="C746" s="17" t="s">
        <v>2195</v>
      </c>
      <c r="D746" s="17" t="s">
        <v>2186</v>
      </c>
      <c r="E746" s="17" t="s">
        <v>1037</v>
      </c>
      <c r="F746" s="16" t="s">
        <v>68</v>
      </c>
      <c r="G746" s="16" t="s">
        <v>72</v>
      </c>
      <c r="H746" s="17" t="s">
        <v>2461</v>
      </c>
      <c r="I746" s="16" t="s">
        <v>74</v>
      </c>
      <c r="J746" s="17" t="s">
        <v>1027</v>
      </c>
      <c r="K746" s="20"/>
    </row>
    <row r="747" ht="15.75" customHeight="1">
      <c r="A747" s="14" t="s">
        <v>97</v>
      </c>
      <c r="B747" s="15">
        <v>629.0</v>
      </c>
      <c r="C747" s="17" t="s">
        <v>2184</v>
      </c>
      <c r="D747" s="17" t="s">
        <v>2462</v>
      </c>
      <c r="E747" s="17" t="s">
        <v>441</v>
      </c>
      <c r="F747" s="16" t="s">
        <v>68</v>
      </c>
      <c r="G747" s="16" t="s">
        <v>371</v>
      </c>
      <c r="H747" s="17" t="s">
        <v>2463</v>
      </c>
      <c r="I747" s="16" t="s">
        <v>74</v>
      </c>
      <c r="J747" s="17" t="s">
        <v>1230</v>
      </c>
      <c r="K747" s="20"/>
    </row>
    <row r="748" ht="15.75" customHeight="1">
      <c r="A748" s="14" t="s">
        <v>97</v>
      </c>
      <c r="B748" s="15">
        <v>630.0</v>
      </c>
      <c r="C748" s="17" t="s">
        <v>2187</v>
      </c>
      <c r="D748" s="17" t="s">
        <v>2464</v>
      </c>
      <c r="E748" s="17" t="s">
        <v>441</v>
      </c>
      <c r="F748" s="16" t="s">
        <v>68</v>
      </c>
      <c r="G748" s="16" t="s">
        <v>371</v>
      </c>
      <c r="H748" s="17" t="s">
        <v>2465</v>
      </c>
      <c r="I748" s="16" t="s">
        <v>74</v>
      </c>
      <c r="J748" s="17" t="s">
        <v>1230</v>
      </c>
      <c r="K748" s="20"/>
    </row>
    <row r="749" ht="15.75" customHeight="1">
      <c r="A749" s="14" t="s">
        <v>97</v>
      </c>
      <c r="B749" s="15">
        <v>631.0</v>
      </c>
      <c r="C749" s="17" t="s">
        <v>2209</v>
      </c>
      <c r="D749" s="17" t="s">
        <v>2466</v>
      </c>
      <c r="E749" s="17" t="s">
        <v>369</v>
      </c>
      <c r="F749" s="16" t="s">
        <v>68</v>
      </c>
      <c r="G749" s="16" t="s">
        <v>371</v>
      </c>
      <c r="H749" s="17" t="s">
        <v>949</v>
      </c>
      <c r="I749" s="16" t="s">
        <v>74</v>
      </c>
      <c r="J749" s="17" t="s">
        <v>2467</v>
      </c>
      <c r="K749" s="20"/>
    </row>
    <row r="750" ht="15.75" customHeight="1">
      <c r="A750" s="14" t="s">
        <v>97</v>
      </c>
      <c r="B750" s="15">
        <v>632.0</v>
      </c>
      <c r="C750" s="17" t="s">
        <v>1856</v>
      </c>
      <c r="D750" s="17" t="s">
        <v>1514</v>
      </c>
      <c r="E750" s="17" t="s">
        <v>956</v>
      </c>
      <c r="F750" s="16" t="s">
        <v>68</v>
      </c>
      <c r="G750" s="16" t="s">
        <v>864</v>
      </c>
      <c r="H750" s="17" t="s">
        <v>959</v>
      </c>
      <c r="I750" s="16" t="s">
        <v>74</v>
      </c>
      <c r="J750" s="17" t="s">
        <v>2467</v>
      </c>
      <c r="K750" s="20"/>
    </row>
    <row r="751" ht="15.75" customHeight="1">
      <c r="A751" s="14" t="s">
        <v>97</v>
      </c>
      <c r="B751" s="15">
        <v>633.0</v>
      </c>
      <c r="C751" s="17" t="s">
        <v>2201</v>
      </c>
      <c r="D751" s="17" t="s">
        <v>2468</v>
      </c>
      <c r="E751" s="17" t="s">
        <v>979</v>
      </c>
      <c r="F751" s="16" t="s">
        <v>68</v>
      </c>
      <c r="G751" s="16" t="s">
        <v>864</v>
      </c>
      <c r="H751" s="17" t="s">
        <v>983</v>
      </c>
      <c r="I751" s="16" t="s">
        <v>74</v>
      </c>
      <c r="J751" s="17" t="s">
        <v>2467</v>
      </c>
      <c r="K751" s="20"/>
    </row>
    <row r="752" ht="15.75" customHeight="1">
      <c r="A752" s="14" t="s">
        <v>97</v>
      </c>
      <c r="B752" s="15">
        <v>634.0</v>
      </c>
      <c r="C752" s="17" t="s">
        <v>2203</v>
      </c>
      <c r="D752" s="17" t="s">
        <v>75</v>
      </c>
      <c r="E752" s="17" t="s">
        <v>990</v>
      </c>
      <c r="F752" s="16" t="s">
        <v>357</v>
      </c>
      <c r="G752" s="16" t="s">
        <v>864</v>
      </c>
      <c r="H752" s="17" t="s">
        <v>992</v>
      </c>
      <c r="I752" s="16" t="s">
        <v>74</v>
      </c>
      <c r="J752" s="17" t="s">
        <v>2467</v>
      </c>
      <c r="K752" s="20"/>
    </row>
    <row r="753" ht="15.75" customHeight="1">
      <c r="A753" s="14" t="s">
        <v>97</v>
      </c>
      <c r="B753" s="15">
        <v>635.0</v>
      </c>
      <c r="C753" s="17" t="s">
        <v>2206</v>
      </c>
      <c r="D753" s="17" t="s">
        <v>75</v>
      </c>
      <c r="E753" s="17" t="s">
        <v>1001</v>
      </c>
      <c r="F753" s="16" t="s">
        <v>357</v>
      </c>
      <c r="G753" s="16" t="s">
        <v>864</v>
      </c>
      <c r="H753" s="17" t="s">
        <v>992</v>
      </c>
      <c r="I753" s="16" t="s">
        <v>74</v>
      </c>
      <c r="J753" s="17" t="s">
        <v>2467</v>
      </c>
      <c r="K753" s="20"/>
    </row>
    <row r="754" ht="15.75" customHeight="1">
      <c r="A754" s="14" t="s">
        <v>97</v>
      </c>
      <c r="B754" s="15">
        <v>636.0</v>
      </c>
      <c r="C754" s="17" t="s">
        <v>2220</v>
      </c>
      <c r="D754" s="17" t="s">
        <v>2186</v>
      </c>
      <c r="E754" s="17" t="s">
        <v>1012</v>
      </c>
      <c r="F754" s="16" t="s">
        <v>68</v>
      </c>
      <c r="G754" s="16" t="s">
        <v>72</v>
      </c>
      <c r="H754" s="17" t="s">
        <v>1014</v>
      </c>
      <c r="I754" s="16" t="s">
        <v>74</v>
      </c>
      <c r="J754" s="17" t="s">
        <v>2467</v>
      </c>
      <c r="K754" s="20"/>
    </row>
    <row r="755" ht="15.75" customHeight="1">
      <c r="A755" s="14" t="s">
        <v>97</v>
      </c>
      <c r="B755" s="15">
        <v>637.0</v>
      </c>
      <c r="C755" s="17" t="s">
        <v>2211</v>
      </c>
      <c r="D755" s="17" t="s">
        <v>2469</v>
      </c>
      <c r="E755" s="17" t="s">
        <v>386</v>
      </c>
      <c r="F755" s="16" t="s">
        <v>68</v>
      </c>
      <c r="G755" s="16" t="s">
        <v>371</v>
      </c>
      <c r="H755" s="17" t="s">
        <v>2470</v>
      </c>
      <c r="I755" s="16" t="s">
        <v>74</v>
      </c>
      <c r="J755" s="17" t="s">
        <v>1027</v>
      </c>
      <c r="K755" s="20"/>
    </row>
    <row r="756" ht="15.75" customHeight="1">
      <c r="A756" s="14" t="s">
        <v>97</v>
      </c>
      <c r="B756" s="15">
        <v>638.0</v>
      </c>
      <c r="C756" s="17" t="s">
        <v>1854</v>
      </c>
      <c r="D756" s="17" t="s">
        <v>1514</v>
      </c>
      <c r="E756" s="17" t="s">
        <v>392</v>
      </c>
      <c r="F756" s="16" t="s">
        <v>68</v>
      </c>
      <c r="G756" s="16" t="s">
        <v>371</v>
      </c>
      <c r="H756" s="17" t="s">
        <v>2470</v>
      </c>
      <c r="I756" s="16" t="s">
        <v>74</v>
      </c>
      <c r="J756" s="17" t="s">
        <v>1027</v>
      </c>
      <c r="K756" s="20"/>
    </row>
    <row r="757" ht="15.75" customHeight="1">
      <c r="A757" s="14" t="s">
        <v>97</v>
      </c>
      <c r="B757" s="15">
        <v>639.0</v>
      </c>
      <c r="C757" s="17" t="s">
        <v>2213</v>
      </c>
      <c r="D757" s="17" t="s">
        <v>1214</v>
      </c>
      <c r="E757" s="17" t="s">
        <v>1034</v>
      </c>
      <c r="F757" s="16" t="s">
        <v>181</v>
      </c>
      <c r="G757" s="16" t="s">
        <v>72</v>
      </c>
      <c r="H757" s="17" t="s">
        <v>2470</v>
      </c>
      <c r="I757" s="16" t="s">
        <v>74</v>
      </c>
      <c r="J757" s="17" t="s">
        <v>1027</v>
      </c>
      <c r="K757" s="20"/>
    </row>
    <row r="758" ht="15.75" customHeight="1">
      <c r="A758" s="14" t="s">
        <v>97</v>
      </c>
      <c r="B758" s="15">
        <v>640.0</v>
      </c>
      <c r="C758" s="17" t="s">
        <v>2215</v>
      </c>
      <c r="D758" s="17" t="s">
        <v>2186</v>
      </c>
      <c r="E758" s="17" t="s">
        <v>1037</v>
      </c>
      <c r="F758" s="16" t="s">
        <v>68</v>
      </c>
      <c r="G758" s="16" t="s">
        <v>72</v>
      </c>
      <c r="H758" s="17" t="s">
        <v>2470</v>
      </c>
      <c r="I758" s="16" t="s">
        <v>74</v>
      </c>
      <c r="J758" s="17" t="s">
        <v>1027</v>
      </c>
      <c r="K758" s="20"/>
    </row>
    <row r="759" ht="15.75" customHeight="1">
      <c r="A759" s="14" t="s">
        <v>97</v>
      </c>
      <c r="B759" s="15">
        <v>641.0</v>
      </c>
      <c r="C759" s="17" t="s">
        <v>2204</v>
      </c>
      <c r="D759" s="17" t="s">
        <v>2471</v>
      </c>
      <c r="E759" s="17" t="s">
        <v>441</v>
      </c>
      <c r="F759" s="16" t="s">
        <v>68</v>
      </c>
      <c r="G759" s="16" t="s">
        <v>371</v>
      </c>
      <c r="H759" s="17" t="s">
        <v>2472</v>
      </c>
      <c r="I759" s="16" t="s">
        <v>74</v>
      </c>
      <c r="J759" s="17" t="s">
        <v>1230</v>
      </c>
      <c r="K759" s="20"/>
    </row>
    <row r="760" ht="15.75" customHeight="1">
      <c r="A760" s="14" t="s">
        <v>97</v>
      </c>
      <c r="B760" s="15">
        <v>642.0</v>
      </c>
      <c r="C760" s="17" t="s">
        <v>2233</v>
      </c>
      <c r="D760" s="17" t="s">
        <v>2473</v>
      </c>
      <c r="E760" s="17" t="s">
        <v>369</v>
      </c>
      <c r="F760" s="16" t="s">
        <v>68</v>
      </c>
      <c r="G760" s="16" t="s">
        <v>371</v>
      </c>
      <c r="H760" s="17" t="s">
        <v>949</v>
      </c>
      <c r="I760" s="16" t="s">
        <v>74</v>
      </c>
      <c r="J760" s="17" t="s">
        <v>2474</v>
      </c>
      <c r="K760" s="20"/>
    </row>
    <row r="761" ht="15.75" customHeight="1">
      <c r="A761" s="14" t="s">
        <v>97</v>
      </c>
      <c r="B761" s="15">
        <v>643.0</v>
      </c>
      <c r="C761" s="17" t="s">
        <v>1858</v>
      </c>
      <c r="D761" s="17" t="s">
        <v>1514</v>
      </c>
      <c r="E761" s="17" t="s">
        <v>956</v>
      </c>
      <c r="F761" s="16" t="s">
        <v>68</v>
      </c>
      <c r="G761" s="16" t="s">
        <v>864</v>
      </c>
      <c r="H761" s="17" t="s">
        <v>959</v>
      </c>
      <c r="I761" s="16" t="s">
        <v>74</v>
      </c>
      <c r="J761" s="17" t="s">
        <v>2474</v>
      </c>
      <c r="K761" s="20"/>
    </row>
    <row r="762" ht="15.75" customHeight="1">
      <c r="A762" s="14" t="s">
        <v>97</v>
      </c>
      <c r="B762" s="15">
        <v>644.0</v>
      </c>
      <c r="C762" s="17" t="s">
        <v>2222</v>
      </c>
      <c r="D762" s="17" t="s">
        <v>2468</v>
      </c>
      <c r="E762" s="17" t="s">
        <v>979</v>
      </c>
      <c r="F762" s="16" t="s">
        <v>68</v>
      </c>
      <c r="G762" s="16" t="s">
        <v>864</v>
      </c>
      <c r="H762" s="17" t="s">
        <v>983</v>
      </c>
      <c r="I762" s="16" t="s">
        <v>74</v>
      </c>
      <c r="J762" s="17" t="s">
        <v>2474</v>
      </c>
      <c r="K762" s="20"/>
    </row>
    <row r="763" ht="15.75" customHeight="1">
      <c r="A763" s="14" t="s">
        <v>97</v>
      </c>
      <c r="B763" s="15">
        <v>645.0</v>
      </c>
      <c r="C763" s="17" t="s">
        <v>2226</v>
      </c>
      <c r="D763" s="17" t="s">
        <v>75</v>
      </c>
      <c r="E763" s="17" t="s">
        <v>990</v>
      </c>
      <c r="F763" s="16" t="s">
        <v>357</v>
      </c>
      <c r="G763" s="16" t="s">
        <v>864</v>
      </c>
      <c r="H763" s="17" t="s">
        <v>992</v>
      </c>
      <c r="I763" s="16" t="s">
        <v>74</v>
      </c>
      <c r="J763" s="17" t="s">
        <v>2474</v>
      </c>
      <c r="K763" s="20"/>
    </row>
    <row r="764" ht="15.75" customHeight="1">
      <c r="A764" s="14" t="s">
        <v>97</v>
      </c>
      <c r="B764" s="15">
        <v>646.0</v>
      </c>
      <c r="C764" s="17" t="s">
        <v>2231</v>
      </c>
      <c r="D764" s="17" t="s">
        <v>75</v>
      </c>
      <c r="E764" s="17" t="s">
        <v>1001</v>
      </c>
      <c r="F764" s="16" t="s">
        <v>357</v>
      </c>
      <c r="G764" s="16" t="s">
        <v>864</v>
      </c>
      <c r="H764" s="17" t="s">
        <v>992</v>
      </c>
      <c r="I764" s="16" t="s">
        <v>74</v>
      </c>
      <c r="J764" s="17" t="s">
        <v>2474</v>
      </c>
      <c r="K764" s="20"/>
    </row>
    <row r="765" ht="15.75" customHeight="1">
      <c r="A765" s="14" t="s">
        <v>97</v>
      </c>
      <c r="B765" s="15">
        <v>647.0</v>
      </c>
      <c r="C765" s="17" t="s">
        <v>2241</v>
      </c>
      <c r="D765" s="17" t="s">
        <v>2186</v>
      </c>
      <c r="E765" s="17" t="s">
        <v>1012</v>
      </c>
      <c r="F765" s="16" t="s">
        <v>68</v>
      </c>
      <c r="G765" s="16" t="s">
        <v>72</v>
      </c>
      <c r="H765" s="17" t="s">
        <v>1014</v>
      </c>
      <c r="I765" s="16" t="s">
        <v>74</v>
      </c>
      <c r="J765" s="17" t="s">
        <v>2474</v>
      </c>
      <c r="K765" s="20"/>
    </row>
    <row r="766" ht="15.75" customHeight="1">
      <c r="A766" s="14" t="s">
        <v>97</v>
      </c>
      <c r="B766" s="15">
        <v>648.0</v>
      </c>
      <c r="C766" s="17" t="s">
        <v>2235</v>
      </c>
      <c r="D766" s="17" t="s">
        <v>2475</v>
      </c>
      <c r="E766" s="17" t="s">
        <v>386</v>
      </c>
      <c r="F766" s="16" t="s">
        <v>68</v>
      </c>
      <c r="G766" s="16" t="s">
        <v>371</v>
      </c>
      <c r="H766" s="17" t="s">
        <v>2476</v>
      </c>
      <c r="I766" s="16" t="s">
        <v>74</v>
      </c>
      <c r="J766" s="17" t="s">
        <v>1027</v>
      </c>
      <c r="K766" s="20"/>
    </row>
    <row r="767" ht="15.75" customHeight="1">
      <c r="A767" s="14" t="s">
        <v>97</v>
      </c>
      <c r="B767" s="15">
        <v>649.0</v>
      </c>
      <c r="C767" s="17" t="s">
        <v>1857</v>
      </c>
      <c r="D767" s="17" t="s">
        <v>1514</v>
      </c>
      <c r="E767" s="17" t="s">
        <v>392</v>
      </c>
      <c r="F767" s="16" t="s">
        <v>68</v>
      </c>
      <c r="G767" s="16" t="s">
        <v>371</v>
      </c>
      <c r="H767" s="17" t="s">
        <v>2476</v>
      </c>
      <c r="I767" s="16" t="s">
        <v>74</v>
      </c>
      <c r="J767" s="17" t="s">
        <v>1027</v>
      </c>
      <c r="K767" s="20"/>
    </row>
    <row r="768" ht="15.75" customHeight="1">
      <c r="A768" s="14" t="s">
        <v>97</v>
      </c>
      <c r="B768" s="15">
        <v>650.0</v>
      </c>
      <c r="C768" s="17" t="s">
        <v>2236</v>
      </c>
      <c r="D768" s="17" t="s">
        <v>1214</v>
      </c>
      <c r="E768" s="17" t="s">
        <v>1034</v>
      </c>
      <c r="F768" s="16" t="s">
        <v>181</v>
      </c>
      <c r="G768" s="16" t="s">
        <v>72</v>
      </c>
      <c r="H768" s="17" t="s">
        <v>2476</v>
      </c>
      <c r="I768" s="16" t="s">
        <v>74</v>
      </c>
      <c r="J768" s="17" t="s">
        <v>1027</v>
      </c>
      <c r="K768" s="20"/>
    </row>
    <row r="769" ht="15.75" customHeight="1">
      <c r="A769" s="14" t="s">
        <v>97</v>
      </c>
      <c r="B769" s="15">
        <v>651.0</v>
      </c>
      <c r="C769" s="17" t="s">
        <v>2238</v>
      </c>
      <c r="D769" s="17" t="s">
        <v>2186</v>
      </c>
      <c r="E769" s="17" t="s">
        <v>1037</v>
      </c>
      <c r="F769" s="16" t="s">
        <v>68</v>
      </c>
      <c r="G769" s="16" t="s">
        <v>72</v>
      </c>
      <c r="H769" s="17" t="s">
        <v>2476</v>
      </c>
      <c r="I769" s="16" t="s">
        <v>74</v>
      </c>
      <c r="J769" s="17" t="s">
        <v>1027</v>
      </c>
      <c r="K769" s="20"/>
    </row>
    <row r="770" ht="15.75" customHeight="1">
      <c r="A770" s="14" t="s">
        <v>97</v>
      </c>
      <c r="B770" s="15">
        <v>652.0</v>
      </c>
      <c r="C770" s="17" t="s">
        <v>2228</v>
      </c>
      <c r="D770" s="17" t="s">
        <v>2477</v>
      </c>
      <c r="E770" s="17" t="s">
        <v>441</v>
      </c>
      <c r="F770" s="16" t="s">
        <v>68</v>
      </c>
      <c r="G770" s="16" t="s">
        <v>371</v>
      </c>
      <c r="H770" s="17" t="s">
        <v>2478</v>
      </c>
      <c r="I770" s="16" t="s">
        <v>74</v>
      </c>
      <c r="J770" s="17" t="s">
        <v>1230</v>
      </c>
      <c r="K770" s="20"/>
    </row>
    <row r="771" ht="15.75" customHeight="1">
      <c r="A771" s="14" t="s">
        <v>97</v>
      </c>
      <c r="B771" s="15">
        <v>653.0</v>
      </c>
      <c r="C771" s="17" t="s">
        <v>435</v>
      </c>
      <c r="D771" s="17" t="s">
        <v>2479</v>
      </c>
      <c r="E771" s="17" t="s">
        <v>369</v>
      </c>
      <c r="F771" s="16" t="s">
        <v>68</v>
      </c>
      <c r="G771" s="16" t="s">
        <v>371</v>
      </c>
      <c r="H771" s="17" t="s">
        <v>949</v>
      </c>
      <c r="I771" s="16" t="s">
        <v>74</v>
      </c>
      <c r="J771" s="17" t="s">
        <v>2480</v>
      </c>
      <c r="K771" s="20"/>
    </row>
    <row r="772" ht="15.75" customHeight="1">
      <c r="A772" s="14" t="s">
        <v>97</v>
      </c>
      <c r="B772" s="15">
        <v>654.0</v>
      </c>
      <c r="C772" s="17" t="s">
        <v>1871</v>
      </c>
      <c r="D772" s="17" t="s">
        <v>1514</v>
      </c>
      <c r="E772" s="17" t="s">
        <v>956</v>
      </c>
      <c r="F772" s="16" t="s">
        <v>68</v>
      </c>
      <c r="G772" s="16" t="s">
        <v>864</v>
      </c>
      <c r="H772" s="17" t="s">
        <v>959</v>
      </c>
      <c r="I772" s="16" t="s">
        <v>74</v>
      </c>
      <c r="J772" s="17" t="s">
        <v>2480</v>
      </c>
      <c r="K772" s="20"/>
    </row>
    <row r="773" ht="15.75" customHeight="1">
      <c r="A773" s="14" t="s">
        <v>97</v>
      </c>
      <c r="B773" s="15">
        <v>655.0</v>
      </c>
      <c r="C773" s="17" t="s">
        <v>2271</v>
      </c>
      <c r="D773" s="17" t="s">
        <v>2468</v>
      </c>
      <c r="E773" s="17" t="s">
        <v>979</v>
      </c>
      <c r="F773" s="16" t="s">
        <v>68</v>
      </c>
      <c r="G773" s="16" t="s">
        <v>864</v>
      </c>
      <c r="H773" s="17" t="s">
        <v>983</v>
      </c>
      <c r="I773" s="16" t="s">
        <v>74</v>
      </c>
      <c r="J773" s="17" t="s">
        <v>2480</v>
      </c>
      <c r="K773" s="20"/>
    </row>
    <row r="774" ht="15.75" customHeight="1">
      <c r="A774" s="14" t="s">
        <v>97</v>
      </c>
      <c r="B774" s="15">
        <v>656.0</v>
      </c>
      <c r="C774" s="17" t="s">
        <v>2272</v>
      </c>
      <c r="D774" s="17" t="s">
        <v>75</v>
      </c>
      <c r="E774" s="17" t="s">
        <v>990</v>
      </c>
      <c r="F774" s="16" t="s">
        <v>357</v>
      </c>
      <c r="G774" s="16" t="s">
        <v>864</v>
      </c>
      <c r="H774" s="17" t="s">
        <v>992</v>
      </c>
      <c r="I774" s="16" t="s">
        <v>74</v>
      </c>
      <c r="J774" s="17" t="s">
        <v>2480</v>
      </c>
      <c r="K774" s="20"/>
    </row>
    <row r="775" ht="15.75" customHeight="1">
      <c r="A775" s="14" t="s">
        <v>97</v>
      </c>
      <c r="B775" s="15">
        <v>657.0</v>
      </c>
      <c r="C775" s="17" t="s">
        <v>2277</v>
      </c>
      <c r="D775" s="17" t="s">
        <v>75</v>
      </c>
      <c r="E775" s="17" t="s">
        <v>1001</v>
      </c>
      <c r="F775" s="16" t="s">
        <v>357</v>
      </c>
      <c r="G775" s="16" t="s">
        <v>864</v>
      </c>
      <c r="H775" s="17" t="s">
        <v>992</v>
      </c>
      <c r="I775" s="16" t="s">
        <v>74</v>
      </c>
      <c r="J775" s="17" t="s">
        <v>2480</v>
      </c>
      <c r="K775" s="20"/>
    </row>
    <row r="776" ht="15.75" customHeight="1">
      <c r="A776" s="14" t="s">
        <v>97</v>
      </c>
      <c r="B776" s="15">
        <v>658.0</v>
      </c>
      <c r="C776" s="17" t="s">
        <v>2279</v>
      </c>
      <c r="D776" s="17" t="s">
        <v>2481</v>
      </c>
      <c r="E776" s="17" t="s">
        <v>386</v>
      </c>
      <c r="F776" s="16" t="s">
        <v>68</v>
      </c>
      <c r="G776" s="16" t="s">
        <v>371</v>
      </c>
      <c r="H776" s="17" t="s">
        <v>2482</v>
      </c>
      <c r="I776" s="16" t="s">
        <v>74</v>
      </c>
      <c r="J776" s="17" t="s">
        <v>1027</v>
      </c>
      <c r="K776" s="20"/>
    </row>
    <row r="777" ht="15.75" customHeight="1">
      <c r="A777" s="14" t="s">
        <v>97</v>
      </c>
      <c r="B777" s="15">
        <v>659.0</v>
      </c>
      <c r="C777" s="17" t="s">
        <v>1868</v>
      </c>
      <c r="D777" s="17" t="s">
        <v>1514</v>
      </c>
      <c r="E777" s="17" t="s">
        <v>392</v>
      </c>
      <c r="F777" s="16" t="s">
        <v>68</v>
      </c>
      <c r="G777" s="16" t="s">
        <v>371</v>
      </c>
      <c r="H777" s="17" t="s">
        <v>2482</v>
      </c>
      <c r="I777" s="16" t="s">
        <v>74</v>
      </c>
      <c r="J777" s="17" t="s">
        <v>1027</v>
      </c>
      <c r="K777" s="20"/>
    </row>
    <row r="778" ht="15.75" customHeight="1">
      <c r="A778" s="14" t="s">
        <v>97</v>
      </c>
      <c r="B778" s="15">
        <v>660.0</v>
      </c>
      <c r="C778" s="17" t="s">
        <v>2282</v>
      </c>
      <c r="D778" s="17" t="s">
        <v>1214</v>
      </c>
      <c r="E778" s="17" t="s">
        <v>1034</v>
      </c>
      <c r="F778" s="16" t="s">
        <v>181</v>
      </c>
      <c r="G778" s="16" t="s">
        <v>72</v>
      </c>
      <c r="H778" s="17" t="s">
        <v>2482</v>
      </c>
      <c r="I778" s="16" t="s">
        <v>74</v>
      </c>
      <c r="J778" s="17" t="s">
        <v>1027</v>
      </c>
      <c r="K778" s="20"/>
    </row>
    <row r="779" ht="15.75" customHeight="1">
      <c r="A779" s="14" t="s">
        <v>97</v>
      </c>
      <c r="B779" s="15">
        <v>661.0</v>
      </c>
      <c r="C779" s="17" t="s">
        <v>2276</v>
      </c>
      <c r="D779" s="17" t="s">
        <v>2483</v>
      </c>
      <c r="E779" s="17" t="s">
        <v>441</v>
      </c>
      <c r="F779" s="16" t="s">
        <v>68</v>
      </c>
      <c r="G779" s="16" t="s">
        <v>371</v>
      </c>
      <c r="H779" s="17" t="s">
        <v>2484</v>
      </c>
      <c r="I779" s="16" t="s">
        <v>74</v>
      </c>
      <c r="J779" s="17" t="s">
        <v>1230</v>
      </c>
      <c r="K779" s="20"/>
    </row>
    <row r="780" ht="15.75" customHeight="1">
      <c r="A780" s="14" t="s">
        <v>114</v>
      </c>
      <c r="B780" s="15">
        <v>1.0</v>
      </c>
      <c r="C780" s="17" t="s">
        <v>2485</v>
      </c>
      <c r="D780" s="17" t="s">
        <v>2486</v>
      </c>
      <c r="E780" s="17" t="s">
        <v>2487</v>
      </c>
      <c r="F780" s="16" t="s">
        <v>68</v>
      </c>
      <c r="G780" s="16" t="s">
        <v>72</v>
      </c>
      <c r="H780" s="17" t="s">
        <v>2488</v>
      </c>
      <c r="I780" s="16" t="s">
        <v>74</v>
      </c>
      <c r="J780" s="17" t="s">
        <v>2489</v>
      </c>
      <c r="K780" s="20"/>
    </row>
    <row r="781" ht="15.75" customHeight="1">
      <c r="A781" s="14" t="s">
        <v>114</v>
      </c>
      <c r="B781" s="15">
        <v>2.0</v>
      </c>
      <c r="C781" s="17" t="s">
        <v>2490</v>
      </c>
      <c r="D781" s="17" t="s">
        <v>2491</v>
      </c>
      <c r="E781" s="17" t="s">
        <v>2492</v>
      </c>
      <c r="F781" s="16" t="s">
        <v>162</v>
      </c>
      <c r="G781" s="16" t="s">
        <v>87</v>
      </c>
      <c r="H781" s="17" t="s">
        <v>2488</v>
      </c>
      <c r="I781" s="16" t="s">
        <v>74</v>
      </c>
      <c r="J781" s="17" t="s">
        <v>2493</v>
      </c>
      <c r="K781" s="20"/>
    </row>
    <row r="782" ht="15.75" customHeight="1">
      <c r="A782" s="14" t="s">
        <v>114</v>
      </c>
      <c r="B782" s="15">
        <v>3.0</v>
      </c>
      <c r="C782" s="17" t="s">
        <v>668</v>
      </c>
      <c r="D782" s="17" t="s">
        <v>2494</v>
      </c>
      <c r="E782" s="17" t="s">
        <v>2495</v>
      </c>
      <c r="F782" s="16" t="s">
        <v>181</v>
      </c>
      <c r="G782" s="16" t="s">
        <v>87</v>
      </c>
      <c r="H782" s="17" t="s">
        <v>2488</v>
      </c>
      <c r="I782" s="16" t="s">
        <v>380</v>
      </c>
      <c r="J782" s="17" t="s">
        <v>2496</v>
      </c>
      <c r="K782" s="20"/>
    </row>
    <row r="783" ht="15.75" customHeight="1">
      <c r="A783" s="14" t="s">
        <v>114</v>
      </c>
      <c r="B783" s="15">
        <v>4.0</v>
      </c>
      <c r="C783" s="17" t="s">
        <v>2497</v>
      </c>
      <c r="D783" s="17" t="s">
        <v>2498</v>
      </c>
      <c r="E783" s="17" t="s">
        <v>85</v>
      </c>
      <c r="F783" s="16" t="s">
        <v>68</v>
      </c>
      <c r="G783" s="16" t="s">
        <v>87</v>
      </c>
      <c r="H783" s="17" t="s">
        <v>2488</v>
      </c>
      <c r="I783" s="16" t="s">
        <v>74</v>
      </c>
      <c r="J783" s="17" t="s">
        <v>2499</v>
      </c>
      <c r="K783" s="20"/>
    </row>
    <row r="784" ht="15.75" customHeight="1">
      <c r="A784" s="14" t="s">
        <v>114</v>
      </c>
      <c r="B784" s="15">
        <v>5.0</v>
      </c>
      <c r="C784" s="17" t="s">
        <v>2500</v>
      </c>
      <c r="D784" s="17" t="s">
        <v>2501</v>
      </c>
      <c r="E784" s="17" t="s">
        <v>2502</v>
      </c>
      <c r="F784" s="16" t="s">
        <v>68</v>
      </c>
      <c r="G784" s="16" t="s">
        <v>87</v>
      </c>
      <c r="H784" s="17" t="s">
        <v>2488</v>
      </c>
      <c r="I784" s="16" t="s">
        <v>74</v>
      </c>
      <c r="J784" s="17" t="s">
        <v>2503</v>
      </c>
      <c r="K784" s="20"/>
    </row>
    <row r="785" ht="15.75" customHeight="1">
      <c r="A785" s="14" t="s">
        <v>114</v>
      </c>
      <c r="B785" s="15">
        <v>6.0</v>
      </c>
      <c r="C785" s="17" t="s">
        <v>2504</v>
      </c>
      <c r="D785" s="17" t="s">
        <v>2505</v>
      </c>
      <c r="E785" s="17" t="s">
        <v>100</v>
      </c>
      <c r="F785" s="16" t="s">
        <v>68</v>
      </c>
      <c r="G785" s="16" t="s">
        <v>87</v>
      </c>
      <c r="H785" s="17" t="s">
        <v>2488</v>
      </c>
      <c r="I785" s="16" t="s">
        <v>74</v>
      </c>
      <c r="J785" s="17" t="s">
        <v>2506</v>
      </c>
      <c r="K785" s="20"/>
    </row>
    <row r="786" ht="15.75" customHeight="1">
      <c r="A786" s="14" t="s">
        <v>114</v>
      </c>
      <c r="B786" s="15">
        <v>7.0</v>
      </c>
      <c r="C786" s="17" t="s">
        <v>2507</v>
      </c>
      <c r="D786" s="17" t="s">
        <v>2508</v>
      </c>
      <c r="E786" s="17" t="s">
        <v>117</v>
      </c>
      <c r="F786" s="16" t="s">
        <v>68</v>
      </c>
      <c r="G786" s="16" t="s">
        <v>87</v>
      </c>
      <c r="H786" s="17" t="s">
        <v>2488</v>
      </c>
      <c r="I786" s="16" t="s">
        <v>74</v>
      </c>
      <c r="J786" s="17" t="s">
        <v>2509</v>
      </c>
      <c r="K786" s="20"/>
    </row>
    <row r="787" ht="15.75" customHeight="1">
      <c r="A787" s="14" t="s">
        <v>114</v>
      </c>
      <c r="B787" s="15">
        <v>8.0</v>
      </c>
      <c r="C787" s="17" t="s">
        <v>2510</v>
      </c>
      <c r="D787" s="17" t="s">
        <v>2511</v>
      </c>
      <c r="E787" s="17" t="s">
        <v>129</v>
      </c>
      <c r="F787" s="16" t="s">
        <v>68</v>
      </c>
      <c r="G787" s="16" t="s">
        <v>87</v>
      </c>
      <c r="H787" s="17" t="s">
        <v>2488</v>
      </c>
      <c r="I787" s="16" t="s">
        <v>74</v>
      </c>
      <c r="J787" s="17" t="s">
        <v>2512</v>
      </c>
      <c r="K787" s="20"/>
    </row>
    <row r="788" ht="15.75" customHeight="1">
      <c r="A788" s="14" t="s">
        <v>114</v>
      </c>
      <c r="B788" s="15">
        <v>9.0</v>
      </c>
      <c r="C788" s="17" t="s">
        <v>413</v>
      </c>
      <c r="D788" s="17" t="s">
        <v>2513</v>
      </c>
      <c r="E788" s="17" t="s">
        <v>369</v>
      </c>
      <c r="F788" s="16" t="s">
        <v>68</v>
      </c>
      <c r="G788" s="16" t="s">
        <v>371</v>
      </c>
      <c r="H788" s="17" t="s">
        <v>2514</v>
      </c>
      <c r="I788" s="16" t="s">
        <v>74</v>
      </c>
      <c r="J788" s="17" t="s">
        <v>2515</v>
      </c>
      <c r="K788" s="20" t="s">
        <v>2516</v>
      </c>
    </row>
    <row r="789" ht="15.75" customHeight="1">
      <c r="A789" s="14" t="s">
        <v>114</v>
      </c>
      <c r="B789" s="15">
        <v>10.0</v>
      </c>
      <c r="C789" s="17" t="s">
        <v>1563</v>
      </c>
      <c r="D789" s="17" t="s">
        <v>2517</v>
      </c>
      <c r="E789" s="17" t="s">
        <v>386</v>
      </c>
      <c r="F789" s="16" t="s">
        <v>68</v>
      </c>
      <c r="G789" s="16" t="s">
        <v>371</v>
      </c>
      <c r="H789" s="17" t="s">
        <v>2518</v>
      </c>
      <c r="I789" s="16" t="s">
        <v>74</v>
      </c>
      <c r="J789" s="17" t="s">
        <v>2519</v>
      </c>
      <c r="K789" s="20"/>
    </row>
    <row r="790" ht="15.75" customHeight="1">
      <c r="A790" s="14" t="s">
        <v>114</v>
      </c>
      <c r="B790" s="15">
        <v>11.0</v>
      </c>
      <c r="C790" s="17" t="s">
        <v>1569</v>
      </c>
      <c r="D790" s="17" t="s">
        <v>2520</v>
      </c>
      <c r="E790" s="17" t="s">
        <v>386</v>
      </c>
      <c r="F790" s="16" t="s">
        <v>68</v>
      </c>
      <c r="G790" s="16" t="s">
        <v>371</v>
      </c>
      <c r="H790" s="17" t="s">
        <v>2521</v>
      </c>
      <c r="I790" s="16" t="s">
        <v>74</v>
      </c>
      <c r="J790" s="17" t="s">
        <v>2519</v>
      </c>
      <c r="K790" s="20"/>
    </row>
    <row r="791" ht="15.75" customHeight="1">
      <c r="A791" s="14" t="s">
        <v>114</v>
      </c>
      <c r="B791" s="15">
        <v>12.0</v>
      </c>
      <c r="C791" s="17" t="s">
        <v>1574</v>
      </c>
      <c r="D791" s="17" t="s">
        <v>2522</v>
      </c>
      <c r="E791" s="17" t="s">
        <v>386</v>
      </c>
      <c r="F791" s="16" t="s">
        <v>68</v>
      </c>
      <c r="G791" s="16" t="s">
        <v>371</v>
      </c>
      <c r="H791" s="17" t="s">
        <v>2523</v>
      </c>
      <c r="I791" s="16" t="s">
        <v>74</v>
      </c>
      <c r="J791" s="17" t="s">
        <v>2519</v>
      </c>
      <c r="K791" s="20"/>
    </row>
    <row r="792" ht="15.75" customHeight="1">
      <c r="A792" s="14" t="s">
        <v>114</v>
      </c>
      <c r="B792" s="15">
        <v>13.0</v>
      </c>
      <c r="C792" s="17" t="s">
        <v>2524</v>
      </c>
      <c r="D792" s="17" t="s">
        <v>2525</v>
      </c>
      <c r="E792" s="17" t="s">
        <v>392</v>
      </c>
      <c r="F792" s="16" t="s">
        <v>68</v>
      </c>
      <c r="G792" s="16" t="s">
        <v>371</v>
      </c>
      <c r="H792" s="17" t="s">
        <v>2518</v>
      </c>
      <c r="I792" s="16" t="s">
        <v>74</v>
      </c>
      <c r="J792" s="17" t="s">
        <v>2519</v>
      </c>
      <c r="K792" s="20"/>
    </row>
    <row r="793" ht="15.75" customHeight="1">
      <c r="A793" s="14" t="s">
        <v>114</v>
      </c>
      <c r="B793" s="15">
        <v>14.0</v>
      </c>
      <c r="C793" s="17" t="s">
        <v>2526</v>
      </c>
      <c r="D793" s="17" t="s">
        <v>2525</v>
      </c>
      <c r="E793" s="17" t="s">
        <v>392</v>
      </c>
      <c r="F793" s="16" t="s">
        <v>68</v>
      </c>
      <c r="G793" s="16" t="s">
        <v>371</v>
      </c>
      <c r="H793" s="17" t="s">
        <v>2521</v>
      </c>
      <c r="I793" s="16" t="s">
        <v>74</v>
      </c>
      <c r="J793" s="17" t="s">
        <v>2519</v>
      </c>
      <c r="K793" s="20"/>
    </row>
    <row r="794" ht="15.75" customHeight="1">
      <c r="A794" s="14" t="s">
        <v>114</v>
      </c>
      <c r="B794" s="15">
        <v>15.0</v>
      </c>
      <c r="C794" s="17" t="s">
        <v>2527</v>
      </c>
      <c r="D794" s="17" t="s">
        <v>2528</v>
      </c>
      <c r="E794" s="17" t="s">
        <v>392</v>
      </c>
      <c r="F794" s="16" t="s">
        <v>68</v>
      </c>
      <c r="G794" s="16" t="s">
        <v>371</v>
      </c>
      <c r="H794" s="17" t="s">
        <v>2523</v>
      </c>
      <c r="I794" s="16" t="s">
        <v>74</v>
      </c>
      <c r="J794" s="17" t="s">
        <v>2519</v>
      </c>
      <c r="K794" s="20"/>
    </row>
    <row r="795" ht="15.75" customHeight="1">
      <c r="A795" s="14" t="s">
        <v>114</v>
      </c>
      <c r="B795" s="15">
        <v>16.0</v>
      </c>
      <c r="C795" s="17" t="s">
        <v>531</v>
      </c>
      <c r="D795" s="17" t="s">
        <v>2529</v>
      </c>
      <c r="E795" s="17" t="s">
        <v>441</v>
      </c>
      <c r="F795" s="16" t="s">
        <v>68</v>
      </c>
      <c r="G795" s="16" t="s">
        <v>371</v>
      </c>
      <c r="H795" s="17" t="s">
        <v>2530</v>
      </c>
      <c r="I795" s="16" t="s">
        <v>74</v>
      </c>
      <c r="J795" s="17" t="s">
        <v>2531</v>
      </c>
      <c r="K795" s="20"/>
    </row>
    <row r="796" ht="15.75" customHeight="1">
      <c r="A796" s="14" t="s">
        <v>114</v>
      </c>
      <c r="B796" s="15">
        <v>17.0</v>
      </c>
      <c r="C796" s="17" t="s">
        <v>535</v>
      </c>
      <c r="D796" s="17" t="s">
        <v>2532</v>
      </c>
      <c r="E796" s="17" t="s">
        <v>441</v>
      </c>
      <c r="F796" s="16" t="s">
        <v>68</v>
      </c>
      <c r="G796" s="16" t="s">
        <v>371</v>
      </c>
      <c r="H796" s="17" t="s">
        <v>2533</v>
      </c>
      <c r="I796" s="16" t="s">
        <v>74</v>
      </c>
      <c r="J796" s="17" t="s">
        <v>2531</v>
      </c>
      <c r="K796" s="20"/>
    </row>
    <row r="797" ht="15.75" customHeight="1">
      <c r="A797" s="14" t="s">
        <v>114</v>
      </c>
      <c r="B797" s="15">
        <v>18.0</v>
      </c>
      <c r="C797" s="17" t="s">
        <v>540</v>
      </c>
      <c r="D797" s="17" t="s">
        <v>2534</v>
      </c>
      <c r="E797" s="17" t="s">
        <v>441</v>
      </c>
      <c r="F797" s="16" t="s">
        <v>68</v>
      </c>
      <c r="G797" s="16" t="s">
        <v>371</v>
      </c>
      <c r="H797" s="17" t="s">
        <v>2535</v>
      </c>
      <c r="I797" s="16" t="s">
        <v>74</v>
      </c>
      <c r="J797" s="17" t="s">
        <v>2531</v>
      </c>
      <c r="K797" s="20"/>
    </row>
    <row r="798" ht="15.75" customHeight="1">
      <c r="A798" s="14" t="s">
        <v>114</v>
      </c>
      <c r="B798" s="15">
        <v>19.0</v>
      </c>
      <c r="C798" s="17" t="s">
        <v>414</v>
      </c>
      <c r="D798" s="17" t="s">
        <v>2536</v>
      </c>
      <c r="E798" s="17" t="s">
        <v>369</v>
      </c>
      <c r="F798" s="16" t="s">
        <v>68</v>
      </c>
      <c r="G798" s="16" t="s">
        <v>371</v>
      </c>
      <c r="H798" s="17" t="s">
        <v>2537</v>
      </c>
      <c r="I798" s="16" t="s">
        <v>74</v>
      </c>
      <c r="J798" s="17" t="s">
        <v>2515</v>
      </c>
      <c r="K798" s="20" t="s">
        <v>2516</v>
      </c>
    </row>
    <row r="799" ht="15.75" customHeight="1">
      <c r="A799" s="14" t="s">
        <v>114</v>
      </c>
      <c r="B799" s="15">
        <v>20.0</v>
      </c>
      <c r="C799" s="17" t="s">
        <v>1581</v>
      </c>
      <c r="D799" s="17" t="s">
        <v>2538</v>
      </c>
      <c r="E799" s="17" t="s">
        <v>386</v>
      </c>
      <c r="F799" s="16" t="s">
        <v>68</v>
      </c>
      <c r="G799" s="16" t="s">
        <v>371</v>
      </c>
      <c r="H799" s="17" t="s">
        <v>2539</v>
      </c>
      <c r="I799" s="16" t="s">
        <v>74</v>
      </c>
      <c r="J799" s="17" t="s">
        <v>2519</v>
      </c>
      <c r="K799" s="20"/>
    </row>
    <row r="800" ht="15.75" customHeight="1">
      <c r="A800" s="14" t="s">
        <v>114</v>
      </c>
      <c r="B800" s="15">
        <v>21.0</v>
      </c>
      <c r="C800" s="17" t="s">
        <v>1583</v>
      </c>
      <c r="D800" s="17" t="s">
        <v>2540</v>
      </c>
      <c r="E800" s="17" t="s">
        <v>386</v>
      </c>
      <c r="F800" s="16" t="s">
        <v>68</v>
      </c>
      <c r="G800" s="16" t="s">
        <v>371</v>
      </c>
      <c r="H800" s="17" t="s">
        <v>2541</v>
      </c>
      <c r="I800" s="16" t="s">
        <v>74</v>
      </c>
      <c r="J800" s="17" t="s">
        <v>2519</v>
      </c>
      <c r="K800" s="20"/>
    </row>
    <row r="801" ht="15.75" customHeight="1">
      <c r="A801" s="14" t="s">
        <v>114</v>
      </c>
      <c r="B801" s="15">
        <v>22.0</v>
      </c>
      <c r="C801" s="17" t="s">
        <v>1585</v>
      </c>
      <c r="D801" s="17" t="s">
        <v>2542</v>
      </c>
      <c r="E801" s="17" t="s">
        <v>386</v>
      </c>
      <c r="F801" s="16" t="s">
        <v>68</v>
      </c>
      <c r="G801" s="16" t="s">
        <v>371</v>
      </c>
      <c r="H801" s="17" t="s">
        <v>2543</v>
      </c>
      <c r="I801" s="16" t="s">
        <v>74</v>
      </c>
      <c r="J801" s="17" t="s">
        <v>2519</v>
      </c>
      <c r="K801" s="20"/>
    </row>
    <row r="802" ht="15.75" customHeight="1">
      <c r="A802" s="14" t="s">
        <v>114</v>
      </c>
      <c r="B802" s="15">
        <v>23.0</v>
      </c>
      <c r="C802" s="17" t="s">
        <v>2544</v>
      </c>
      <c r="D802" s="17" t="s">
        <v>2525</v>
      </c>
      <c r="E802" s="17" t="s">
        <v>392</v>
      </c>
      <c r="F802" s="16" t="s">
        <v>68</v>
      </c>
      <c r="G802" s="16" t="s">
        <v>371</v>
      </c>
      <c r="H802" s="17" t="s">
        <v>2539</v>
      </c>
      <c r="I802" s="16" t="s">
        <v>74</v>
      </c>
      <c r="J802" s="17" t="s">
        <v>2519</v>
      </c>
      <c r="K802" s="20"/>
    </row>
    <row r="803" ht="15.75" customHeight="1">
      <c r="A803" s="14" t="s">
        <v>114</v>
      </c>
      <c r="B803" s="15">
        <v>24.0</v>
      </c>
      <c r="C803" s="17" t="s">
        <v>2545</v>
      </c>
      <c r="D803" s="17" t="s">
        <v>2525</v>
      </c>
      <c r="E803" s="17" t="s">
        <v>392</v>
      </c>
      <c r="F803" s="16" t="s">
        <v>68</v>
      </c>
      <c r="G803" s="16" t="s">
        <v>371</v>
      </c>
      <c r="H803" s="17" t="s">
        <v>2541</v>
      </c>
      <c r="I803" s="16" t="s">
        <v>74</v>
      </c>
      <c r="J803" s="17" t="s">
        <v>2519</v>
      </c>
      <c r="K803" s="20"/>
    </row>
    <row r="804" ht="15.75" customHeight="1">
      <c r="A804" s="14" t="s">
        <v>114</v>
      </c>
      <c r="B804" s="15">
        <v>25.0</v>
      </c>
      <c r="C804" s="17" t="s">
        <v>2546</v>
      </c>
      <c r="D804" s="17" t="s">
        <v>2525</v>
      </c>
      <c r="E804" s="17" t="s">
        <v>392</v>
      </c>
      <c r="F804" s="16" t="s">
        <v>68</v>
      </c>
      <c r="G804" s="16" t="s">
        <v>371</v>
      </c>
      <c r="H804" s="17" t="s">
        <v>2543</v>
      </c>
      <c r="I804" s="16" t="s">
        <v>74</v>
      </c>
      <c r="J804" s="17" t="s">
        <v>2519</v>
      </c>
      <c r="K804" s="20"/>
    </row>
    <row r="805" ht="15.75" customHeight="1">
      <c r="A805" s="14" t="s">
        <v>114</v>
      </c>
      <c r="B805" s="15">
        <v>26.0</v>
      </c>
      <c r="C805" s="17" t="s">
        <v>544</v>
      </c>
      <c r="D805" s="17" t="s">
        <v>2547</v>
      </c>
      <c r="E805" s="17" t="s">
        <v>441</v>
      </c>
      <c r="F805" s="16" t="s">
        <v>68</v>
      </c>
      <c r="G805" s="16" t="s">
        <v>371</v>
      </c>
      <c r="H805" s="17" t="s">
        <v>2548</v>
      </c>
      <c r="I805" s="16" t="s">
        <v>74</v>
      </c>
      <c r="J805" s="17" t="s">
        <v>2531</v>
      </c>
      <c r="K805" s="20"/>
    </row>
    <row r="806" ht="15.75" customHeight="1">
      <c r="A806" s="14" t="s">
        <v>114</v>
      </c>
      <c r="B806" s="15">
        <v>27.0</v>
      </c>
      <c r="C806" s="17" t="s">
        <v>547</v>
      </c>
      <c r="D806" s="17" t="s">
        <v>2549</v>
      </c>
      <c r="E806" s="17" t="s">
        <v>441</v>
      </c>
      <c r="F806" s="16" t="s">
        <v>68</v>
      </c>
      <c r="G806" s="16" t="s">
        <v>371</v>
      </c>
      <c r="H806" s="17" t="s">
        <v>2550</v>
      </c>
      <c r="I806" s="16" t="s">
        <v>74</v>
      </c>
      <c r="J806" s="17" t="s">
        <v>2531</v>
      </c>
      <c r="K806" s="20"/>
    </row>
    <row r="807" ht="15.75" customHeight="1">
      <c r="A807" s="14" t="s">
        <v>114</v>
      </c>
      <c r="B807" s="15">
        <v>28.0</v>
      </c>
      <c r="C807" s="17" t="s">
        <v>549</v>
      </c>
      <c r="D807" s="17" t="s">
        <v>2551</v>
      </c>
      <c r="E807" s="17" t="s">
        <v>441</v>
      </c>
      <c r="F807" s="16" t="s">
        <v>68</v>
      </c>
      <c r="G807" s="16" t="s">
        <v>371</v>
      </c>
      <c r="H807" s="17" t="s">
        <v>2552</v>
      </c>
      <c r="I807" s="16" t="s">
        <v>74</v>
      </c>
      <c r="J807" s="17" t="s">
        <v>2531</v>
      </c>
      <c r="K807" s="20"/>
    </row>
    <row r="808" ht="15.75" customHeight="1">
      <c r="A808" s="14" t="s">
        <v>114</v>
      </c>
      <c r="B808" s="15">
        <v>29.0</v>
      </c>
      <c r="C808" s="17" t="s">
        <v>2553</v>
      </c>
      <c r="D808" s="17" t="s">
        <v>2554</v>
      </c>
      <c r="E808" s="17" t="s">
        <v>369</v>
      </c>
      <c r="F808" s="16" t="s">
        <v>68</v>
      </c>
      <c r="G808" s="16" t="s">
        <v>371</v>
      </c>
      <c r="H808" s="17" t="s">
        <v>2555</v>
      </c>
      <c r="I808" s="16" t="s">
        <v>74</v>
      </c>
      <c r="J808" s="17" t="s">
        <v>2515</v>
      </c>
      <c r="K808" s="20" t="s">
        <v>2516</v>
      </c>
    </row>
    <row r="809" ht="15.75" customHeight="1">
      <c r="A809" s="14" t="s">
        <v>114</v>
      </c>
      <c r="B809" s="15">
        <v>30.0</v>
      </c>
      <c r="C809" s="17" t="s">
        <v>1586</v>
      </c>
      <c r="D809" s="17" t="s">
        <v>2556</v>
      </c>
      <c r="E809" s="17" t="s">
        <v>386</v>
      </c>
      <c r="F809" s="16" t="s">
        <v>68</v>
      </c>
      <c r="G809" s="16" t="s">
        <v>371</v>
      </c>
      <c r="H809" s="17" t="s">
        <v>2557</v>
      </c>
      <c r="I809" s="16" t="s">
        <v>74</v>
      </c>
      <c r="J809" s="17" t="s">
        <v>2519</v>
      </c>
      <c r="K809" s="20"/>
    </row>
    <row r="810" ht="15.75" customHeight="1">
      <c r="A810" s="14" t="s">
        <v>114</v>
      </c>
      <c r="B810" s="15">
        <v>31.0</v>
      </c>
      <c r="C810" s="17" t="s">
        <v>1589</v>
      </c>
      <c r="D810" s="17" t="s">
        <v>2558</v>
      </c>
      <c r="E810" s="17" t="s">
        <v>386</v>
      </c>
      <c r="F810" s="16" t="s">
        <v>68</v>
      </c>
      <c r="G810" s="16" t="s">
        <v>371</v>
      </c>
      <c r="H810" s="17" t="s">
        <v>2559</v>
      </c>
      <c r="I810" s="16" t="s">
        <v>74</v>
      </c>
      <c r="J810" s="17" t="s">
        <v>2519</v>
      </c>
      <c r="K810" s="20"/>
    </row>
    <row r="811" ht="15.75" customHeight="1">
      <c r="A811" s="14" t="s">
        <v>114</v>
      </c>
      <c r="B811" s="15">
        <v>32.0</v>
      </c>
      <c r="C811" s="17" t="s">
        <v>1592</v>
      </c>
      <c r="D811" s="17" t="s">
        <v>2560</v>
      </c>
      <c r="E811" s="17" t="s">
        <v>386</v>
      </c>
      <c r="F811" s="16" t="s">
        <v>68</v>
      </c>
      <c r="G811" s="16" t="s">
        <v>371</v>
      </c>
      <c r="H811" s="17" t="s">
        <v>2561</v>
      </c>
      <c r="I811" s="16" t="s">
        <v>74</v>
      </c>
      <c r="J811" s="17" t="s">
        <v>2519</v>
      </c>
      <c r="K811" s="20"/>
    </row>
    <row r="812" ht="15.75" customHeight="1">
      <c r="A812" s="14" t="s">
        <v>114</v>
      </c>
      <c r="B812" s="15">
        <v>33.0</v>
      </c>
      <c r="C812" s="17" t="s">
        <v>2562</v>
      </c>
      <c r="D812" s="17" t="s">
        <v>2528</v>
      </c>
      <c r="E812" s="17" t="s">
        <v>392</v>
      </c>
      <c r="F812" s="16" t="s">
        <v>68</v>
      </c>
      <c r="G812" s="16" t="s">
        <v>371</v>
      </c>
      <c r="H812" s="17" t="s">
        <v>2557</v>
      </c>
      <c r="I812" s="16" t="s">
        <v>74</v>
      </c>
      <c r="J812" s="17" t="s">
        <v>2519</v>
      </c>
      <c r="K812" s="20"/>
    </row>
    <row r="813" ht="15.75" customHeight="1">
      <c r="A813" s="14" t="s">
        <v>114</v>
      </c>
      <c r="B813" s="15">
        <v>34.0</v>
      </c>
      <c r="C813" s="17" t="s">
        <v>2563</v>
      </c>
      <c r="D813" s="17" t="s">
        <v>2528</v>
      </c>
      <c r="E813" s="17" t="s">
        <v>392</v>
      </c>
      <c r="F813" s="16" t="s">
        <v>68</v>
      </c>
      <c r="G813" s="16" t="s">
        <v>371</v>
      </c>
      <c r="H813" s="17" t="s">
        <v>2559</v>
      </c>
      <c r="I813" s="16" t="s">
        <v>74</v>
      </c>
      <c r="J813" s="17" t="s">
        <v>2519</v>
      </c>
      <c r="K813" s="20"/>
    </row>
    <row r="814" ht="15.75" customHeight="1">
      <c r="A814" s="14" t="s">
        <v>114</v>
      </c>
      <c r="B814" s="15">
        <v>35.0</v>
      </c>
      <c r="C814" s="17" t="s">
        <v>2564</v>
      </c>
      <c r="D814" s="17" t="s">
        <v>2525</v>
      </c>
      <c r="E814" s="17" t="s">
        <v>392</v>
      </c>
      <c r="F814" s="16" t="s">
        <v>68</v>
      </c>
      <c r="G814" s="16" t="s">
        <v>371</v>
      </c>
      <c r="H814" s="17" t="s">
        <v>2561</v>
      </c>
      <c r="I814" s="16" t="s">
        <v>74</v>
      </c>
      <c r="J814" s="17" t="s">
        <v>2519</v>
      </c>
      <c r="K814" s="20"/>
    </row>
    <row r="815" ht="15.75" customHeight="1">
      <c r="A815" s="14" t="s">
        <v>114</v>
      </c>
      <c r="B815" s="15">
        <v>36.0</v>
      </c>
      <c r="C815" s="17" t="s">
        <v>552</v>
      </c>
      <c r="D815" s="17" t="s">
        <v>2565</v>
      </c>
      <c r="E815" s="17" t="s">
        <v>441</v>
      </c>
      <c r="F815" s="16" t="s">
        <v>68</v>
      </c>
      <c r="G815" s="16" t="s">
        <v>371</v>
      </c>
      <c r="H815" s="17" t="s">
        <v>2566</v>
      </c>
      <c r="I815" s="16" t="s">
        <v>74</v>
      </c>
      <c r="J815" s="17" t="s">
        <v>2531</v>
      </c>
      <c r="K815" s="20"/>
    </row>
    <row r="816" ht="15.75" customHeight="1">
      <c r="A816" s="14" t="s">
        <v>114</v>
      </c>
      <c r="B816" s="15">
        <v>37.0</v>
      </c>
      <c r="C816" s="17" t="s">
        <v>554</v>
      </c>
      <c r="D816" s="17" t="s">
        <v>2567</v>
      </c>
      <c r="E816" s="17" t="s">
        <v>441</v>
      </c>
      <c r="F816" s="16" t="s">
        <v>68</v>
      </c>
      <c r="G816" s="16" t="s">
        <v>371</v>
      </c>
      <c r="H816" s="17" t="s">
        <v>2568</v>
      </c>
      <c r="I816" s="16" t="s">
        <v>74</v>
      </c>
      <c r="J816" s="17" t="s">
        <v>2531</v>
      </c>
      <c r="K816" s="20"/>
    </row>
    <row r="817" ht="15.75" customHeight="1">
      <c r="A817" s="14" t="s">
        <v>114</v>
      </c>
      <c r="B817" s="15">
        <v>38.0</v>
      </c>
      <c r="C817" s="17" t="s">
        <v>556</v>
      </c>
      <c r="D817" s="17" t="s">
        <v>2569</v>
      </c>
      <c r="E817" s="17" t="s">
        <v>441</v>
      </c>
      <c r="F817" s="16" t="s">
        <v>68</v>
      </c>
      <c r="G817" s="16" t="s">
        <v>371</v>
      </c>
      <c r="H817" s="17" t="s">
        <v>2570</v>
      </c>
      <c r="I817" s="16" t="s">
        <v>74</v>
      </c>
      <c r="J817" s="17" t="s">
        <v>2531</v>
      </c>
      <c r="K817" s="20"/>
    </row>
    <row r="818" ht="15.75" customHeight="1">
      <c r="A818" s="14" t="s">
        <v>114</v>
      </c>
      <c r="B818" s="15">
        <v>39.0</v>
      </c>
      <c r="C818" s="17" t="s">
        <v>2571</v>
      </c>
      <c r="D818" s="17" t="s">
        <v>2572</v>
      </c>
      <c r="E818" s="17" t="s">
        <v>369</v>
      </c>
      <c r="F818" s="16" t="s">
        <v>68</v>
      </c>
      <c r="G818" s="16" t="s">
        <v>371</v>
      </c>
      <c r="H818" s="17" t="s">
        <v>2573</v>
      </c>
      <c r="I818" s="16" t="s">
        <v>74</v>
      </c>
      <c r="J818" s="17" t="s">
        <v>2515</v>
      </c>
      <c r="K818" s="20" t="s">
        <v>2516</v>
      </c>
    </row>
    <row r="819" ht="15.75" customHeight="1">
      <c r="A819" s="14" t="s">
        <v>114</v>
      </c>
      <c r="B819" s="15">
        <v>40.0</v>
      </c>
      <c r="C819" s="17" t="s">
        <v>1593</v>
      </c>
      <c r="D819" s="17" t="s">
        <v>2574</v>
      </c>
      <c r="E819" s="17" t="s">
        <v>386</v>
      </c>
      <c r="F819" s="16" t="s">
        <v>68</v>
      </c>
      <c r="G819" s="16" t="s">
        <v>371</v>
      </c>
      <c r="H819" s="17" t="s">
        <v>2575</v>
      </c>
      <c r="I819" s="16" t="s">
        <v>74</v>
      </c>
      <c r="J819" s="17" t="s">
        <v>2519</v>
      </c>
      <c r="K819" s="20"/>
    </row>
    <row r="820" ht="15.75" customHeight="1">
      <c r="A820" s="14" t="s">
        <v>114</v>
      </c>
      <c r="B820" s="15">
        <v>41.0</v>
      </c>
      <c r="C820" s="17" t="s">
        <v>1596</v>
      </c>
      <c r="D820" s="17" t="s">
        <v>2576</v>
      </c>
      <c r="E820" s="17" t="s">
        <v>386</v>
      </c>
      <c r="F820" s="16" t="s">
        <v>68</v>
      </c>
      <c r="G820" s="16" t="s">
        <v>371</v>
      </c>
      <c r="H820" s="17" t="s">
        <v>2577</v>
      </c>
      <c r="I820" s="16" t="s">
        <v>74</v>
      </c>
      <c r="J820" s="17" t="s">
        <v>2519</v>
      </c>
      <c r="K820" s="20"/>
    </row>
    <row r="821" ht="15.75" customHeight="1">
      <c r="A821" s="14" t="s">
        <v>114</v>
      </c>
      <c r="B821" s="15">
        <v>42.0</v>
      </c>
      <c r="C821" s="17" t="s">
        <v>1599</v>
      </c>
      <c r="D821" s="17" t="s">
        <v>2578</v>
      </c>
      <c r="E821" s="17" t="s">
        <v>386</v>
      </c>
      <c r="F821" s="16" t="s">
        <v>68</v>
      </c>
      <c r="G821" s="16" t="s">
        <v>371</v>
      </c>
      <c r="H821" s="17" t="s">
        <v>2579</v>
      </c>
      <c r="I821" s="16" t="s">
        <v>74</v>
      </c>
      <c r="J821" s="17" t="s">
        <v>2519</v>
      </c>
      <c r="K821" s="20"/>
    </row>
    <row r="822" ht="15.75" customHeight="1">
      <c r="A822" s="14" t="s">
        <v>114</v>
      </c>
      <c r="B822" s="15">
        <v>43.0</v>
      </c>
      <c r="C822" s="17" t="s">
        <v>2580</v>
      </c>
      <c r="D822" s="17" t="s">
        <v>2525</v>
      </c>
      <c r="E822" s="17" t="s">
        <v>392</v>
      </c>
      <c r="F822" s="16" t="s">
        <v>68</v>
      </c>
      <c r="G822" s="16" t="s">
        <v>371</v>
      </c>
      <c r="H822" s="17" t="s">
        <v>2575</v>
      </c>
      <c r="I822" s="16" t="s">
        <v>74</v>
      </c>
      <c r="J822" s="17" t="s">
        <v>2519</v>
      </c>
      <c r="K822" s="20"/>
    </row>
    <row r="823" ht="15.75" customHeight="1">
      <c r="A823" s="14" t="s">
        <v>114</v>
      </c>
      <c r="B823" s="15">
        <v>44.0</v>
      </c>
      <c r="C823" s="17" t="s">
        <v>2581</v>
      </c>
      <c r="D823" s="17" t="s">
        <v>2528</v>
      </c>
      <c r="E823" s="17" t="s">
        <v>392</v>
      </c>
      <c r="F823" s="16" t="s">
        <v>68</v>
      </c>
      <c r="G823" s="16" t="s">
        <v>371</v>
      </c>
      <c r="H823" s="17" t="s">
        <v>2577</v>
      </c>
      <c r="I823" s="16" t="s">
        <v>74</v>
      </c>
      <c r="J823" s="17" t="s">
        <v>2519</v>
      </c>
      <c r="K823" s="20"/>
    </row>
    <row r="824" ht="15.75" customHeight="1">
      <c r="A824" s="14" t="s">
        <v>114</v>
      </c>
      <c r="B824" s="15">
        <v>45.0</v>
      </c>
      <c r="C824" s="17" t="s">
        <v>2582</v>
      </c>
      <c r="D824" s="17" t="s">
        <v>2528</v>
      </c>
      <c r="E824" s="17" t="s">
        <v>392</v>
      </c>
      <c r="F824" s="16" t="s">
        <v>68</v>
      </c>
      <c r="G824" s="16" t="s">
        <v>371</v>
      </c>
      <c r="H824" s="17" t="s">
        <v>2579</v>
      </c>
      <c r="I824" s="16" t="s">
        <v>74</v>
      </c>
      <c r="J824" s="17" t="s">
        <v>2519</v>
      </c>
      <c r="K824" s="20"/>
    </row>
    <row r="825" ht="15.75" customHeight="1">
      <c r="A825" s="14" t="s">
        <v>114</v>
      </c>
      <c r="B825" s="15">
        <v>46.0</v>
      </c>
      <c r="C825" s="17" t="s">
        <v>558</v>
      </c>
      <c r="D825" s="17" t="s">
        <v>2583</v>
      </c>
      <c r="E825" s="17" t="s">
        <v>441</v>
      </c>
      <c r="F825" s="16" t="s">
        <v>68</v>
      </c>
      <c r="G825" s="16" t="s">
        <v>371</v>
      </c>
      <c r="H825" s="17" t="s">
        <v>2584</v>
      </c>
      <c r="I825" s="16" t="s">
        <v>74</v>
      </c>
      <c r="J825" s="17" t="s">
        <v>2531</v>
      </c>
      <c r="K825" s="20"/>
    </row>
    <row r="826" ht="15.75" customHeight="1">
      <c r="A826" s="14" t="s">
        <v>114</v>
      </c>
      <c r="B826" s="15">
        <v>47.0</v>
      </c>
      <c r="C826" s="17" t="s">
        <v>560</v>
      </c>
      <c r="D826" s="17" t="s">
        <v>2585</v>
      </c>
      <c r="E826" s="17" t="s">
        <v>441</v>
      </c>
      <c r="F826" s="16" t="s">
        <v>68</v>
      </c>
      <c r="G826" s="16" t="s">
        <v>371</v>
      </c>
      <c r="H826" s="17" t="s">
        <v>2586</v>
      </c>
      <c r="I826" s="16" t="s">
        <v>74</v>
      </c>
      <c r="J826" s="17" t="s">
        <v>2531</v>
      </c>
      <c r="K826" s="20"/>
    </row>
    <row r="827" ht="15.75" customHeight="1">
      <c r="A827" s="14" t="s">
        <v>114</v>
      </c>
      <c r="B827" s="15">
        <v>48.0</v>
      </c>
      <c r="C827" s="17" t="s">
        <v>562</v>
      </c>
      <c r="D827" s="17" t="s">
        <v>2587</v>
      </c>
      <c r="E827" s="17" t="s">
        <v>441</v>
      </c>
      <c r="F827" s="16" t="s">
        <v>68</v>
      </c>
      <c r="G827" s="16" t="s">
        <v>371</v>
      </c>
      <c r="H827" s="17" t="s">
        <v>2588</v>
      </c>
      <c r="I827" s="16" t="s">
        <v>74</v>
      </c>
      <c r="J827" s="17" t="s">
        <v>2531</v>
      </c>
      <c r="K827" s="20"/>
    </row>
    <row r="828" ht="15.75" customHeight="1">
      <c r="A828" s="14" t="s">
        <v>114</v>
      </c>
      <c r="B828" s="15">
        <v>49.0</v>
      </c>
      <c r="C828" s="17" t="s">
        <v>2589</v>
      </c>
      <c r="D828" s="17" t="s">
        <v>2590</v>
      </c>
      <c r="E828" s="17" t="s">
        <v>369</v>
      </c>
      <c r="F828" s="16" t="s">
        <v>68</v>
      </c>
      <c r="G828" s="16" t="s">
        <v>371</v>
      </c>
      <c r="H828" s="17" t="s">
        <v>2591</v>
      </c>
      <c r="I828" s="16" t="s">
        <v>74</v>
      </c>
      <c r="J828" s="17" t="s">
        <v>2515</v>
      </c>
      <c r="K828" s="20" t="s">
        <v>2516</v>
      </c>
    </row>
    <row r="829" ht="15.75" customHeight="1">
      <c r="A829" s="14" t="s">
        <v>114</v>
      </c>
      <c r="B829" s="15">
        <v>50.0</v>
      </c>
      <c r="C829" s="17" t="s">
        <v>1603</v>
      </c>
      <c r="D829" s="17" t="s">
        <v>2592</v>
      </c>
      <c r="E829" s="17" t="s">
        <v>386</v>
      </c>
      <c r="F829" s="16" t="s">
        <v>68</v>
      </c>
      <c r="G829" s="16" t="s">
        <v>371</v>
      </c>
      <c r="H829" s="17" t="s">
        <v>2593</v>
      </c>
      <c r="I829" s="16" t="s">
        <v>74</v>
      </c>
      <c r="J829" s="17" t="s">
        <v>2519</v>
      </c>
      <c r="K829" s="20"/>
    </row>
    <row r="830" ht="15.75" customHeight="1">
      <c r="A830" s="14" t="s">
        <v>114</v>
      </c>
      <c r="B830" s="15">
        <v>51.0</v>
      </c>
      <c r="C830" s="17" t="s">
        <v>1606</v>
      </c>
      <c r="D830" s="17" t="s">
        <v>2594</v>
      </c>
      <c r="E830" s="17" t="s">
        <v>386</v>
      </c>
      <c r="F830" s="16" t="s">
        <v>68</v>
      </c>
      <c r="G830" s="16" t="s">
        <v>371</v>
      </c>
      <c r="H830" s="17" t="s">
        <v>2595</v>
      </c>
      <c r="I830" s="16" t="s">
        <v>74</v>
      </c>
      <c r="J830" s="17" t="s">
        <v>2519</v>
      </c>
      <c r="K830" s="20"/>
    </row>
    <row r="831" ht="15.75" customHeight="1">
      <c r="A831" s="14" t="s">
        <v>114</v>
      </c>
      <c r="B831" s="15">
        <v>52.0</v>
      </c>
      <c r="C831" s="17" t="s">
        <v>1608</v>
      </c>
      <c r="D831" s="17" t="s">
        <v>2596</v>
      </c>
      <c r="E831" s="17" t="s">
        <v>386</v>
      </c>
      <c r="F831" s="16" t="s">
        <v>68</v>
      </c>
      <c r="G831" s="16" t="s">
        <v>371</v>
      </c>
      <c r="H831" s="17" t="s">
        <v>2597</v>
      </c>
      <c r="I831" s="16" t="s">
        <v>74</v>
      </c>
      <c r="J831" s="17" t="s">
        <v>2519</v>
      </c>
      <c r="K831" s="20"/>
    </row>
    <row r="832" ht="15.75" customHeight="1">
      <c r="A832" s="14" t="s">
        <v>114</v>
      </c>
      <c r="B832" s="15">
        <v>53.0</v>
      </c>
      <c r="C832" s="17" t="s">
        <v>2598</v>
      </c>
      <c r="D832" s="17" t="s">
        <v>2528</v>
      </c>
      <c r="E832" s="17" t="s">
        <v>392</v>
      </c>
      <c r="F832" s="16" t="s">
        <v>68</v>
      </c>
      <c r="G832" s="16" t="s">
        <v>371</v>
      </c>
      <c r="H832" s="17" t="s">
        <v>2593</v>
      </c>
      <c r="I832" s="16" t="s">
        <v>74</v>
      </c>
      <c r="J832" s="17" t="s">
        <v>2519</v>
      </c>
      <c r="K832" s="20"/>
    </row>
    <row r="833" ht="15.75" customHeight="1">
      <c r="A833" s="14" t="s">
        <v>114</v>
      </c>
      <c r="B833" s="15">
        <v>54.0</v>
      </c>
      <c r="C833" s="17" t="s">
        <v>2599</v>
      </c>
      <c r="D833" s="17" t="s">
        <v>2525</v>
      </c>
      <c r="E833" s="17" t="s">
        <v>392</v>
      </c>
      <c r="F833" s="16" t="s">
        <v>68</v>
      </c>
      <c r="G833" s="16" t="s">
        <v>371</v>
      </c>
      <c r="H833" s="17" t="s">
        <v>2595</v>
      </c>
      <c r="I833" s="16" t="s">
        <v>74</v>
      </c>
      <c r="J833" s="17" t="s">
        <v>2519</v>
      </c>
      <c r="K833" s="20"/>
    </row>
    <row r="834" ht="15.75" customHeight="1">
      <c r="A834" s="14" t="s">
        <v>114</v>
      </c>
      <c r="B834" s="15">
        <v>55.0</v>
      </c>
      <c r="C834" s="17" t="s">
        <v>2600</v>
      </c>
      <c r="D834" s="17" t="s">
        <v>2528</v>
      </c>
      <c r="E834" s="17" t="s">
        <v>392</v>
      </c>
      <c r="F834" s="16" t="s">
        <v>68</v>
      </c>
      <c r="G834" s="16" t="s">
        <v>371</v>
      </c>
      <c r="H834" s="17" t="s">
        <v>2597</v>
      </c>
      <c r="I834" s="16" t="s">
        <v>74</v>
      </c>
      <c r="J834" s="17" t="s">
        <v>2519</v>
      </c>
      <c r="K834" s="20"/>
    </row>
    <row r="835" ht="15.75" customHeight="1">
      <c r="A835" s="14" t="s">
        <v>114</v>
      </c>
      <c r="B835" s="15">
        <v>56.0</v>
      </c>
      <c r="C835" s="17" t="s">
        <v>563</v>
      </c>
      <c r="D835" s="17" t="s">
        <v>2601</v>
      </c>
      <c r="E835" s="17" t="s">
        <v>441</v>
      </c>
      <c r="F835" s="16" t="s">
        <v>68</v>
      </c>
      <c r="G835" s="16" t="s">
        <v>371</v>
      </c>
      <c r="H835" s="17" t="s">
        <v>2602</v>
      </c>
      <c r="I835" s="16" t="s">
        <v>74</v>
      </c>
      <c r="J835" s="17" t="s">
        <v>2531</v>
      </c>
      <c r="K835" s="20"/>
    </row>
    <row r="836" ht="15.75" customHeight="1">
      <c r="A836" s="14" t="s">
        <v>114</v>
      </c>
      <c r="B836" s="15">
        <v>57.0</v>
      </c>
      <c r="C836" s="17" t="s">
        <v>566</v>
      </c>
      <c r="D836" s="17" t="s">
        <v>2603</v>
      </c>
      <c r="E836" s="17" t="s">
        <v>441</v>
      </c>
      <c r="F836" s="16" t="s">
        <v>68</v>
      </c>
      <c r="G836" s="16" t="s">
        <v>371</v>
      </c>
      <c r="H836" s="17" t="s">
        <v>2604</v>
      </c>
      <c r="I836" s="16" t="s">
        <v>74</v>
      </c>
      <c r="J836" s="17" t="s">
        <v>2531</v>
      </c>
      <c r="K836" s="20"/>
    </row>
    <row r="837" ht="15.75" customHeight="1">
      <c r="A837" s="14" t="s">
        <v>114</v>
      </c>
      <c r="B837" s="15">
        <v>58.0</v>
      </c>
      <c r="C837" s="17" t="s">
        <v>567</v>
      </c>
      <c r="D837" s="17" t="s">
        <v>2605</v>
      </c>
      <c r="E837" s="17" t="s">
        <v>441</v>
      </c>
      <c r="F837" s="16" t="s">
        <v>68</v>
      </c>
      <c r="G837" s="16" t="s">
        <v>371</v>
      </c>
      <c r="H837" s="17" t="s">
        <v>2606</v>
      </c>
      <c r="I837" s="16" t="s">
        <v>74</v>
      </c>
      <c r="J837" s="17" t="s">
        <v>2531</v>
      </c>
      <c r="K837" s="20"/>
    </row>
    <row r="838" ht="15.75" customHeight="1">
      <c r="A838" s="14" t="s">
        <v>114</v>
      </c>
      <c r="B838" s="15">
        <v>59.0</v>
      </c>
      <c r="C838" s="17" t="s">
        <v>1941</v>
      </c>
      <c r="D838" s="17" t="s">
        <v>2607</v>
      </c>
      <c r="E838" s="17" t="s">
        <v>2608</v>
      </c>
      <c r="F838" s="16" t="s">
        <v>68</v>
      </c>
      <c r="G838" s="16" t="s">
        <v>87</v>
      </c>
      <c r="H838" s="17" t="s">
        <v>2488</v>
      </c>
      <c r="I838" s="16" t="s">
        <v>380</v>
      </c>
      <c r="J838" s="17" t="s">
        <v>2609</v>
      </c>
      <c r="K838" s="20"/>
    </row>
    <row r="839" ht="15.75" customHeight="1">
      <c r="A839" s="14" t="s">
        <v>114</v>
      </c>
      <c r="B839" s="15">
        <v>60.0</v>
      </c>
      <c r="C839" s="17" t="s">
        <v>640</v>
      </c>
      <c r="D839" s="17" t="s">
        <v>2610</v>
      </c>
      <c r="E839" s="17" t="s">
        <v>161</v>
      </c>
      <c r="F839" s="16" t="s">
        <v>162</v>
      </c>
      <c r="G839" s="16" t="s">
        <v>87</v>
      </c>
      <c r="H839" s="17" t="s">
        <v>2488</v>
      </c>
      <c r="I839" s="16" t="s">
        <v>74</v>
      </c>
      <c r="J839" s="17" t="s">
        <v>2611</v>
      </c>
      <c r="K839" s="20"/>
    </row>
    <row r="840" ht="15.75" customHeight="1">
      <c r="A840" s="14" t="s">
        <v>114</v>
      </c>
      <c r="B840" s="15">
        <v>61.0</v>
      </c>
      <c r="C840" s="17" t="s">
        <v>645</v>
      </c>
      <c r="D840" s="17" t="s">
        <v>2612</v>
      </c>
      <c r="E840" s="17" t="s">
        <v>174</v>
      </c>
      <c r="F840" s="16" t="s">
        <v>162</v>
      </c>
      <c r="G840" s="16" t="s">
        <v>87</v>
      </c>
      <c r="H840" s="17" t="s">
        <v>2488</v>
      </c>
      <c r="I840" s="16" t="s">
        <v>74</v>
      </c>
      <c r="J840" s="17" t="s">
        <v>2613</v>
      </c>
      <c r="K840" s="20"/>
    </row>
    <row r="841" ht="15.75" customHeight="1">
      <c r="A841" s="14" t="s">
        <v>114</v>
      </c>
      <c r="B841" s="15">
        <v>62.0</v>
      </c>
      <c r="C841" s="17" t="s">
        <v>362</v>
      </c>
      <c r="D841" s="17" t="s">
        <v>2614</v>
      </c>
      <c r="E841" s="17" t="s">
        <v>369</v>
      </c>
      <c r="F841" s="16" t="s">
        <v>68</v>
      </c>
      <c r="G841" s="16" t="s">
        <v>371</v>
      </c>
      <c r="H841" s="17" t="s">
        <v>2488</v>
      </c>
      <c r="I841" s="16" t="s">
        <v>380</v>
      </c>
      <c r="J841" s="17" t="s">
        <v>2615</v>
      </c>
      <c r="K841" s="20" t="s">
        <v>2616</v>
      </c>
    </row>
    <row r="842" ht="15.75" customHeight="1">
      <c r="A842" s="14" t="s">
        <v>114</v>
      </c>
      <c r="B842" s="15">
        <v>63.0</v>
      </c>
      <c r="C842" s="17" t="s">
        <v>367</v>
      </c>
      <c r="D842" s="17" t="s">
        <v>2617</v>
      </c>
      <c r="E842" s="17" t="s">
        <v>369</v>
      </c>
      <c r="F842" s="16" t="s">
        <v>68</v>
      </c>
      <c r="G842" s="16" t="s">
        <v>371</v>
      </c>
      <c r="H842" s="17" t="s">
        <v>2488</v>
      </c>
      <c r="I842" s="16" t="s">
        <v>380</v>
      </c>
      <c r="J842" s="17" t="s">
        <v>2615</v>
      </c>
      <c r="K842" s="20" t="s">
        <v>2616</v>
      </c>
    </row>
    <row r="843" ht="15.75" customHeight="1">
      <c r="A843" s="14" t="s">
        <v>114</v>
      </c>
      <c r="B843" s="15">
        <v>64.0</v>
      </c>
      <c r="C843" s="17" t="s">
        <v>2618</v>
      </c>
      <c r="D843" s="17" t="s">
        <v>2619</v>
      </c>
      <c r="E843" s="17" t="s">
        <v>2620</v>
      </c>
      <c r="F843" s="16" t="s">
        <v>68</v>
      </c>
      <c r="G843" s="16" t="s">
        <v>87</v>
      </c>
      <c r="H843" s="17" t="s">
        <v>2488</v>
      </c>
      <c r="I843" s="16" t="s">
        <v>380</v>
      </c>
      <c r="J843" s="17" t="s">
        <v>2621</v>
      </c>
      <c r="K843" s="20"/>
    </row>
    <row r="844" ht="15.75" customHeight="1">
      <c r="A844" s="14" t="s">
        <v>114</v>
      </c>
      <c r="B844" s="15">
        <v>65.0</v>
      </c>
      <c r="C844" s="17" t="s">
        <v>652</v>
      </c>
      <c r="D844" s="17" t="s">
        <v>2622</v>
      </c>
      <c r="E844" s="17" t="s">
        <v>879</v>
      </c>
      <c r="F844" s="16" t="s">
        <v>68</v>
      </c>
      <c r="G844" s="16" t="s">
        <v>87</v>
      </c>
      <c r="H844" s="17" t="s">
        <v>2488</v>
      </c>
      <c r="I844" s="16" t="s">
        <v>380</v>
      </c>
      <c r="J844" s="17" t="s">
        <v>2623</v>
      </c>
      <c r="K844" s="20"/>
    </row>
    <row r="845" ht="15.75" customHeight="1">
      <c r="A845" s="21" t="s">
        <v>114</v>
      </c>
      <c r="B845" s="25">
        <v>66.0</v>
      </c>
      <c r="C845" s="22" t="s">
        <v>673</v>
      </c>
      <c r="D845" s="22" t="s">
        <v>2624</v>
      </c>
      <c r="E845" s="22" t="s">
        <v>2625</v>
      </c>
      <c r="F845" s="24" t="s">
        <v>181</v>
      </c>
      <c r="G845" s="24" t="s">
        <v>87</v>
      </c>
      <c r="H845" s="22" t="s">
        <v>2488</v>
      </c>
      <c r="I845" s="24" t="s">
        <v>380</v>
      </c>
      <c r="J845" s="22" t="s">
        <v>2626</v>
      </c>
      <c r="K845" s="26"/>
    </row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136AC63-3562-4077-9588-9901159BCF45}" filter="1" showAutoFilter="1">
      <autoFilter ref="$A$4:$K$845"/>
    </customSheetView>
  </customSheetViews>
  <mergeCells count="2">
    <mergeCell ref="A1:K1"/>
    <mergeCell ref="A2:K2"/>
  </mergeCells>
  <conditionalFormatting sqref="I5:I845">
    <cfRule type="containsText" dxfId="7" priority="1" operator="containsText" text="high">
      <formula>NOT(ISERROR(SEARCH(("high"),(I5))))</formula>
    </cfRule>
  </conditionalFormatting>
  <conditionalFormatting sqref="I5:I845">
    <cfRule type="containsText" dxfId="6" priority="2" operator="containsText" text="medium">
      <formula>NOT(ISERROR(SEARCH(("medium"),(I5))))</formula>
    </cfRule>
  </conditionalFormatting>
  <conditionalFormatting sqref="I5:I845">
    <cfRule type="containsText" dxfId="8" priority="3" operator="containsText" text="low">
      <formula>NOT(ISERROR(SEARCH(("low"),(I5))))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21.0"/>
    <col customWidth="1" min="3" max="3" width="44.0"/>
    <col customWidth="1" min="4" max="4" width="14.0"/>
    <col customWidth="1" min="5" max="5" width="18.0"/>
    <col customWidth="1" min="6" max="6" width="48.0"/>
    <col customWidth="1" min="7" max="7" width="54.0"/>
    <col customWidth="1" min="8" max="8" width="48.0"/>
    <col customWidth="1" min="9" max="9" width="24.0"/>
    <col customWidth="1" min="10" max="10" width="38.0"/>
    <col customWidth="1" min="11" max="26" width="8.63"/>
  </cols>
  <sheetData>
    <row r="1" ht="31.5" customHeight="1">
      <c r="A1" s="1" t="s">
        <v>1</v>
      </c>
    </row>
    <row r="2" ht="33.75" customHeight="1">
      <c r="A2" s="2" t="s">
        <v>5</v>
      </c>
    </row>
    <row r="4" ht="30.0" customHeight="1">
      <c r="A4" s="3" t="s">
        <v>8</v>
      </c>
      <c r="B4" s="3" t="s">
        <v>10</v>
      </c>
      <c r="C4" s="3" t="s">
        <v>12</v>
      </c>
      <c r="D4" s="4" t="s">
        <v>14</v>
      </c>
      <c r="E4" s="4" t="s">
        <v>16</v>
      </c>
      <c r="F4" s="3" t="s">
        <v>18</v>
      </c>
      <c r="G4" s="3" t="s">
        <v>19</v>
      </c>
      <c r="H4" s="3" t="s">
        <v>21</v>
      </c>
      <c r="I4" s="3" t="s">
        <v>24</v>
      </c>
      <c r="J4" s="3" t="s">
        <v>26</v>
      </c>
    </row>
    <row r="5">
      <c r="A5" s="7" t="s">
        <v>32</v>
      </c>
      <c r="B5" s="8" t="s">
        <v>51</v>
      </c>
      <c r="C5" s="10" t="s">
        <v>58</v>
      </c>
      <c r="D5" s="9">
        <v>19062.0</v>
      </c>
      <c r="E5" s="9">
        <v>19062.0</v>
      </c>
      <c r="F5" s="10" t="s">
        <v>62</v>
      </c>
      <c r="G5" s="10" t="s">
        <v>65</v>
      </c>
      <c r="H5" s="10" t="s">
        <v>67</v>
      </c>
      <c r="I5" s="10" t="s">
        <v>69</v>
      </c>
      <c r="J5" s="12" t="s">
        <v>71</v>
      </c>
    </row>
    <row r="6">
      <c r="A6" s="14" t="s">
        <v>77</v>
      </c>
      <c r="B6" s="16" t="s">
        <v>51</v>
      </c>
      <c r="C6" s="17" t="s">
        <v>83</v>
      </c>
      <c r="D6" s="15">
        <v>10565.0</v>
      </c>
      <c r="E6" s="15">
        <v>450.0</v>
      </c>
      <c r="F6" s="17" t="s">
        <v>86</v>
      </c>
      <c r="G6" s="17" t="s">
        <v>88</v>
      </c>
      <c r="H6" s="17" t="s">
        <v>90</v>
      </c>
      <c r="I6" s="17" t="s">
        <v>69</v>
      </c>
      <c r="J6" s="20" t="s">
        <v>91</v>
      </c>
    </row>
    <row r="7">
      <c r="A7" s="14" t="s">
        <v>92</v>
      </c>
      <c r="B7" s="16" t="s">
        <v>93</v>
      </c>
      <c r="C7" s="17" t="s">
        <v>94</v>
      </c>
      <c r="D7" s="15">
        <v>9905.0</v>
      </c>
      <c r="E7" s="15">
        <v>91423.0</v>
      </c>
      <c r="F7" s="17" t="s">
        <v>98</v>
      </c>
      <c r="G7" s="17" t="s">
        <v>101</v>
      </c>
      <c r="H7" s="17" t="s">
        <v>102</v>
      </c>
      <c r="I7" s="17" t="s">
        <v>69</v>
      </c>
      <c r="J7" s="20" t="s">
        <v>103</v>
      </c>
    </row>
    <row r="8">
      <c r="A8" s="14" t="s">
        <v>105</v>
      </c>
      <c r="B8" s="16" t="s">
        <v>106</v>
      </c>
      <c r="C8" s="17" t="s">
        <v>107</v>
      </c>
      <c r="D8" s="15">
        <v>9443.0</v>
      </c>
      <c r="E8" s="15">
        <v>31518.0</v>
      </c>
      <c r="F8" s="17" t="s">
        <v>108</v>
      </c>
      <c r="G8" s="17" t="s">
        <v>109</v>
      </c>
      <c r="H8" s="17" t="s">
        <v>110</v>
      </c>
      <c r="I8" s="17" t="s">
        <v>111</v>
      </c>
      <c r="J8" s="20" t="s">
        <v>112</v>
      </c>
    </row>
    <row r="9">
      <c r="A9" s="14" t="s">
        <v>116</v>
      </c>
      <c r="B9" s="16" t="s">
        <v>118</v>
      </c>
      <c r="C9" s="17" t="s">
        <v>120</v>
      </c>
      <c r="D9" s="15">
        <v>8271.0</v>
      </c>
      <c r="E9" s="15">
        <v>8852.0</v>
      </c>
      <c r="F9" s="17" t="s">
        <v>122</v>
      </c>
      <c r="G9" s="17" t="s">
        <v>123</v>
      </c>
      <c r="H9" s="17" t="s">
        <v>124</v>
      </c>
      <c r="I9" s="17" t="s">
        <v>111</v>
      </c>
      <c r="J9" s="20" t="s">
        <v>125</v>
      </c>
    </row>
    <row r="10">
      <c r="A10" s="14" t="s">
        <v>128</v>
      </c>
      <c r="B10" s="16" t="s">
        <v>130</v>
      </c>
      <c r="C10" s="17" t="s">
        <v>131</v>
      </c>
      <c r="D10" s="15">
        <v>6527.0</v>
      </c>
      <c r="E10" s="15">
        <v>7899.0</v>
      </c>
      <c r="F10" s="17" t="s">
        <v>133</v>
      </c>
      <c r="G10" s="17" t="s">
        <v>134</v>
      </c>
      <c r="H10" s="17" t="s">
        <v>135</v>
      </c>
      <c r="I10" s="17" t="s">
        <v>136</v>
      </c>
      <c r="J10" s="20" t="s">
        <v>137</v>
      </c>
    </row>
    <row r="11">
      <c r="A11" s="14" t="s">
        <v>139</v>
      </c>
      <c r="B11" s="16" t="s">
        <v>140</v>
      </c>
      <c r="C11" s="17" t="s">
        <v>142</v>
      </c>
      <c r="D11" s="15">
        <v>6274.0</v>
      </c>
      <c r="E11" s="15">
        <v>13653.0</v>
      </c>
      <c r="F11" s="17" t="s">
        <v>145</v>
      </c>
      <c r="G11" s="17" t="s">
        <v>148</v>
      </c>
      <c r="H11" s="17" t="s">
        <v>149</v>
      </c>
      <c r="I11" s="17" t="s">
        <v>69</v>
      </c>
      <c r="J11" s="20" t="s">
        <v>150</v>
      </c>
    </row>
    <row r="12">
      <c r="A12" s="14" t="s">
        <v>152</v>
      </c>
      <c r="B12" s="16" t="s">
        <v>106</v>
      </c>
      <c r="C12" s="17" t="s">
        <v>155</v>
      </c>
      <c r="D12" s="15">
        <v>5807.0</v>
      </c>
      <c r="E12" s="15">
        <v>17066.0</v>
      </c>
      <c r="F12" s="17" t="s">
        <v>108</v>
      </c>
      <c r="G12" s="17" t="s">
        <v>157</v>
      </c>
      <c r="H12" s="17" t="s">
        <v>159</v>
      </c>
      <c r="I12" s="17" t="s">
        <v>111</v>
      </c>
      <c r="J12" s="20" t="s">
        <v>112</v>
      </c>
    </row>
    <row r="13">
      <c r="A13" s="14" t="s">
        <v>164</v>
      </c>
      <c r="B13" s="16" t="s">
        <v>165</v>
      </c>
      <c r="C13" s="17" t="s">
        <v>166</v>
      </c>
      <c r="D13" s="15">
        <v>5341.0</v>
      </c>
      <c r="E13" s="15">
        <v>11389.0</v>
      </c>
      <c r="F13" s="17" t="s">
        <v>167</v>
      </c>
      <c r="G13" s="17" t="s">
        <v>168</v>
      </c>
      <c r="H13" s="17" t="s">
        <v>169</v>
      </c>
      <c r="I13" s="17" t="s">
        <v>170</v>
      </c>
      <c r="J13" s="20" t="s">
        <v>172</v>
      </c>
    </row>
    <row r="14">
      <c r="A14" s="14" t="s">
        <v>175</v>
      </c>
      <c r="B14" s="16" t="s">
        <v>176</v>
      </c>
      <c r="C14" s="17" t="s">
        <v>177</v>
      </c>
      <c r="D14" s="15">
        <v>3930.0</v>
      </c>
      <c r="E14" s="15">
        <v>3930.0</v>
      </c>
      <c r="F14" s="17" t="s">
        <v>183</v>
      </c>
      <c r="G14" s="17" t="s">
        <v>184</v>
      </c>
      <c r="H14" s="17" t="s">
        <v>186</v>
      </c>
      <c r="I14" s="17" t="s">
        <v>136</v>
      </c>
      <c r="J14" s="20" t="s">
        <v>190</v>
      </c>
    </row>
    <row r="15">
      <c r="A15" s="14" t="s">
        <v>194</v>
      </c>
      <c r="B15" s="16" t="s">
        <v>140</v>
      </c>
      <c r="C15" s="17" t="s">
        <v>196</v>
      </c>
      <c r="D15" s="15">
        <v>2205.0</v>
      </c>
      <c r="E15" s="15">
        <v>2666.0</v>
      </c>
      <c r="F15" s="17" t="s">
        <v>197</v>
      </c>
      <c r="G15" s="17" t="s">
        <v>199</v>
      </c>
      <c r="H15" s="17" t="s">
        <v>201</v>
      </c>
      <c r="I15" s="17" t="s">
        <v>136</v>
      </c>
      <c r="J15" s="20" t="s">
        <v>203</v>
      </c>
    </row>
    <row r="16">
      <c r="A16" s="14" t="s">
        <v>205</v>
      </c>
      <c r="B16" s="16" t="s">
        <v>140</v>
      </c>
      <c r="C16" s="17" t="s">
        <v>206</v>
      </c>
      <c r="D16" s="15">
        <v>1901.0</v>
      </c>
      <c r="E16" s="15">
        <v>3199.0</v>
      </c>
      <c r="F16" s="17" t="s">
        <v>208</v>
      </c>
      <c r="G16" s="17" t="s">
        <v>210</v>
      </c>
      <c r="H16" s="17" t="s">
        <v>212</v>
      </c>
      <c r="I16" s="17" t="s">
        <v>69</v>
      </c>
      <c r="J16" s="20" t="s">
        <v>214</v>
      </c>
    </row>
    <row r="17">
      <c r="A17" s="14" t="s">
        <v>215</v>
      </c>
      <c r="B17" s="16" t="s">
        <v>217</v>
      </c>
      <c r="C17" s="17" t="s">
        <v>218</v>
      </c>
      <c r="D17" s="15">
        <v>1762.0</v>
      </c>
      <c r="E17" s="15">
        <v>3859.0</v>
      </c>
      <c r="F17" s="17" t="s">
        <v>219</v>
      </c>
      <c r="G17" s="17" t="s">
        <v>220</v>
      </c>
      <c r="H17" s="17" t="s">
        <v>221</v>
      </c>
      <c r="I17" s="17" t="s">
        <v>136</v>
      </c>
      <c r="J17" s="20" t="s">
        <v>222</v>
      </c>
    </row>
    <row r="18">
      <c r="A18" s="14" t="s">
        <v>226</v>
      </c>
      <c r="B18" s="16" t="s">
        <v>228</v>
      </c>
      <c r="C18" s="17" t="s">
        <v>229</v>
      </c>
      <c r="D18" s="15">
        <v>530.0</v>
      </c>
      <c r="E18" s="15">
        <v>530.0</v>
      </c>
      <c r="F18" s="17" t="s">
        <v>230</v>
      </c>
      <c r="G18" s="17" t="s">
        <v>231</v>
      </c>
      <c r="H18" s="17" t="s">
        <v>232</v>
      </c>
      <c r="I18" s="17" t="s">
        <v>136</v>
      </c>
      <c r="J18" s="20" t="s">
        <v>233</v>
      </c>
    </row>
    <row r="19">
      <c r="A19" s="14" t="s">
        <v>234</v>
      </c>
      <c r="B19" s="16" t="s">
        <v>130</v>
      </c>
      <c r="C19" s="17" t="s">
        <v>235</v>
      </c>
      <c r="D19" s="15">
        <v>481.0</v>
      </c>
      <c r="E19" s="15">
        <v>548.0</v>
      </c>
      <c r="F19" s="17" t="s">
        <v>238</v>
      </c>
      <c r="G19" s="17" t="s">
        <v>240</v>
      </c>
      <c r="H19" s="17" t="s">
        <v>241</v>
      </c>
      <c r="I19" s="17" t="s">
        <v>111</v>
      </c>
      <c r="J19" s="20" t="s">
        <v>242</v>
      </c>
    </row>
    <row r="20">
      <c r="A20" s="14" t="s">
        <v>243</v>
      </c>
      <c r="B20" s="16" t="s">
        <v>228</v>
      </c>
      <c r="C20" s="17" t="s">
        <v>244</v>
      </c>
      <c r="D20" s="15">
        <v>315.0</v>
      </c>
      <c r="E20" s="15">
        <v>315.0</v>
      </c>
      <c r="F20" s="17" t="s">
        <v>230</v>
      </c>
      <c r="G20" s="17" t="s">
        <v>231</v>
      </c>
      <c r="H20" s="17" t="s">
        <v>245</v>
      </c>
      <c r="I20" s="17" t="s">
        <v>246</v>
      </c>
      <c r="J20" s="20" t="s">
        <v>248</v>
      </c>
    </row>
    <row r="21" ht="15.75" customHeight="1">
      <c r="A21" s="14" t="s">
        <v>250</v>
      </c>
      <c r="B21" s="16" t="s">
        <v>140</v>
      </c>
      <c r="C21" s="17" t="s">
        <v>252</v>
      </c>
      <c r="D21" s="15">
        <v>235.0</v>
      </c>
      <c r="E21" s="15">
        <v>331.0</v>
      </c>
      <c r="F21" s="17" t="s">
        <v>254</v>
      </c>
      <c r="G21" s="17" t="s">
        <v>255</v>
      </c>
      <c r="H21" s="17" t="s">
        <v>256</v>
      </c>
      <c r="I21" s="17" t="s">
        <v>111</v>
      </c>
      <c r="J21" s="20" t="s">
        <v>257</v>
      </c>
    </row>
    <row r="22" ht="15.75" customHeight="1">
      <c r="A22" s="14" t="s">
        <v>258</v>
      </c>
      <c r="B22" s="16" t="s">
        <v>130</v>
      </c>
      <c r="C22" s="17" t="s">
        <v>261</v>
      </c>
      <c r="D22" s="15">
        <v>228.0</v>
      </c>
      <c r="E22" s="15">
        <v>546.0</v>
      </c>
      <c r="F22" s="17" t="s">
        <v>263</v>
      </c>
      <c r="G22" s="17" t="s">
        <v>264</v>
      </c>
      <c r="H22" s="17" t="s">
        <v>266</v>
      </c>
      <c r="I22" s="17" t="s">
        <v>111</v>
      </c>
      <c r="J22" s="20" t="s">
        <v>267</v>
      </c>
    </row>
    <row r="23" ht="15.75" customHeight="1">
      <c r="A23" s="14" t="s">
        <v>268</v>
      </c>
      <c r="B23" s="16" t="s">
        <v>130</v>
      </c>
      <c r="C23" s="17" t="s">
        <v>269</v>
      </c>
      <c r="D23" s="15">
        <v>99.0</v>
      </c>
      <c r="E23" s="15">
        <v>116.0</v>
      </c>
      <c r="F23" s="17" t="s">
        <v>271</v>
      </c>
      <c r="G23" s="17" t="s">
        <v>273</v>
      </c>
      <c r="H23" s="17" t="s">
        <v>274</v>
      </c>
      <c r="I23" s="17" t="s">
        <v>111</v>
      </c>
      <c r="J23" s="20" t="s">
        <v>275</v>
      </c>
    </row>
    <row r="24" ht="15.75" customHeight="1">
      <c r="A24" s="14" t="s">
        <v>276</v>
      </c>
      <c r="B24" s="16" t="s">
        <v>277</v>
      </c>
      <c r="C24" s="17" t="s">
        <v>278</v>
      </c>
      <c r="D24" s="15">
        <v>66.0</v>
      </c>
      <c r="E24" s="15">
        <v>66.0</v>
      </c>
      <c r="F24" s="17" t="s">
        <v>279</v>
      </c>
      <c r="G24" s="17" t="s">
        <v>280</v>
      </c>
      <c r="H24" s="17" t="s">
        <v>281</v>
      </c>
      <c r="I24" s="17" t="s">
        <v>69</v>
      </c>
      <c r="J24" s="20" t="s">
        <v>285</v>
      </c>
    </row>
    <row r="25" ht="15.75" customHeight="1">
      <c r="A25" s="14" t="s">
        <v>286</v>
      </c>
      <c r="B25" s="16" t="s">
        <v>277</v>
      </c>
      <c r="C25" s="17" t="s">
        <v>287</v>
      </c>
      <c r="D25" s="15">
        <v>44.0</v>
      </c>
      <c r="E25" s="15">
        <v>48.0</v>
      </c>
      <c r="F25" s="17" t="s">
        <v>289</v>
      </c>
      <c r="G25" s="17" t="s">
        <v>291</v>
      </c>
      <c r="H25" s="17" t="s">
        <v>292</v>
      </c>
      <c r="I25" s="17" t="s">
        <v>136</v>
      </c>
      <c r="J25" s="20" t="s">
        <v>293</v>
      </c>
    </row>
    <row r="26" ht="15.75" customHeight="1">
      <c r="A26" s="14" t="s">
        <v>297</v>
      </c>
      <c r="B26" s="16" t="s">
        <v>228</v>
      </c>
      <c r="C26" s="17" t="s">
        <v>300</v>
      </c>
      <c r="D26" s="15">
        <v>26.0</v>
      </c>
      <c r="E26" s="15">
        <v>26.0</v>
      </c>
      <c r="F26" s="17" t="s">
        <v>301</v>
      </c>
      <c r="G26" s="17" t="s">
        <v>302</v>
      </c>
      <c r="H26" s="17" t="s">
        <v>303</v>
      </c>
      <c r="I26" s="17" t="s">
        <v>136</v>
      </c>
      <c r="J26" s="20" t="s">
        <v>304</v>
      </c>
    </row>
    <row r="27" ht="15.75" customHeight="1">
      <c r="A27" s="14" t="s">
        <v>305</v>
      </c>
      <c r="B27" s="16" t="s">
        <v>306</v>
      </c>
      <c r="C27" s="17" t="s">
        <v>307</v>
      </c>
      <c r="D27" s="15">
        <v>3.0</v>
      </c>
      <c r="E27" s="15">
        <v>3.0</v>
      </c>
      <c r="F27" s="17" t="s">
        <v>309</v>
      </c>
      <c r="G27" s="17" t="s">
        <v>311</v>
      </c>
      <c r="H27" s="17" t="s">
        <v>313</v>
      </c>
      <c r="I27" s="17" t="s">
        <v>136</v>
      </c>
      <c r="J27" s="20" t="s">
        <v>315</v>
      </c>
    </row>
    <row r="28" ht="15.75" customHeight="1">
      <c r="A28" s="14" t="s">
        <v>317</v>
      </c>
      <c r="B28" s="16" t="s">
        <v>29</v>
      </c>
      <c r="C28" s="17" t="s">
        <v>318</v>
      </c>
      <c r="D28" s="15">
        <v>2.0</v>
      </c>
      <c r="E28" s="15">
        <v>2.0</v>
      </c>
      <c r="F28" s="17" t="s">
        <v>183</v>
      </c>
      <c r="G28" s="17" t="s">
        <v>322</v>
      </c>
      <c r="H28" s="17" t="s">
        <v>324</v>
      </c>
      <c r="I28" s="17" t="s">
        <v>111</v>
      </c>
      <c r="J28" s="20" t="s">
        <v>325</v>
      </c>
    </row>
    <row r="29" ht="15.75" customHeight="1">
      <c r="A29" s="14" t="s">
        <v>327</v>
      </c>
      <c r="B29" s="16" t="s">
        <v>277</v>
      </c>
      <c r="C29" s="17" t="s">
        <v>328</v>
      </c>
      <c r="D29" s="15">
        <v>1.0</v>
      </c>
      <c r="E29" s="15">
        <v>1.0</v>
      </c>
      <c r="F29" s="17" t="s">
        <v>330</v>
      </c>
      <c r="G29" s="17" t="s">
        <v>333</v>
      </c>
      <c r="H29" s="17" t="s">
        <v>334</v>
      </c>
      <c r="I29" s="17" t="s">
        <v>136</v>
      </c>
      <c r="J29" s="20" t="s">
        <v>336</v>
      </c>
    </row>
    <row r="30" ht="15.75" customHeight="1">
      <c r="A30" s="21" t="s">
        <v>337</v>
      </c>
      <c r="B30" s="24" t="s">
        <v>277</v>
      </c>
      <c r="C30" s="22" t="s">
        <v>338</v>
      </c>
      <c r="D30" s="25">
        <v>1.0</v>
      </c>
      <c r="E30" s="25">
        <v>2.0</v>
      </c>
      <c r="F30" s="22" t="s">
        <v>343</v>
      </c>
      <c r="G30" s="22" t="s">
        <v>344</v>
      </c>
      <c r="H30" s="22" t="s">
        <v>345</v>
      </c>
      <c r="I30" s="22" t="s">
        <v>69</v>
      </c>
      <c r="J30" s="26" t="s">
        <v>347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2F90642-4AA5-49A4-A620-638671FF4E55}" filter="1" showAutoFilter="1">
      <autoFilter ref="$A$4:$J$30"/>
    </customSheetView>
  </customSheetViews>
  <mergeCells count="2">
    <mergeCell ref="A1:J1"/>
    <mergeCell ref="A2:J2"/>
  </mergeCells>
  <conditionalFormatting sqref="I5:I30">
    <cfRule type="containsText" dxfId="5" priority="1" operator="containsText" text="High">
      <formula>NOT(ISERROR(SEARCH(("High"),(I5))))</formula>
    </cfRule>
  </conditionalFormatting>
  <conditionalFormatting sqref="I5:I30">
    <cfRule type="containsText" dxfId="6" priority="2" operator="containsText" text="Medium">
      <formula>NOT(ISERROR(SEARCH(("Medium"),(I5))))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22.0"/>
    <col customWidth="1" min="3" max="3" width="20.0"/>
    <col customWidth="1" min="4" max="4" width="38.0"/>
    <col customWidth="1" min="5" max="5" width="26.0"/>
    <col customWidth="1" min="6" max="6" width="58.0"/>
    <col customWidth="1" min="7" max="26" width="8.63"/>
  </cols>
  <sheetData>
    <row r="1" ht="31.5" customHeight="1">
      <c r="A1" s="1" t="s">
        <v>288</v>
      </c>
    </row>
    <row r="2" ht="33.75" customHeight="1">
      <c r="A2" s="2" t="s">
        <v>290</v>
      </c>
    </row>
    <row r="4" ht="30.0" customHeight="1">
      <c r="A4" s="3" t="s">
        <v>8</v>
      </c>
      <c r="B4" s="3" t="s">
        <v>10</v>
      </c>
      <c r="C4" s="3" t="s">
        <v>9</v>
      </c>
      <c r="D4" s="3" t="s">
        <v>295</v>
      </c>
      <c r="E4" s="4" t="s">
        <v>298</v>
      </c>
      <c r="F4" s="3" t="s">
        <v>12</v>
      </c>
    </row>
    <row r="5">
      <c r="A5" s="7" t="s">
        <v>175</v>
      </c>
      <c r="B5" s="8" t="s">
        <v>176</v>
      </c>
      <c r="C5" s="8" t="s">
        <v>46</v>
      </c>
      <c r="D5" s="10" t="s">
        <v>141</v>
      </c>
      <c r="E5" s="9">
        <v>1752.0</v>
      </c>
      <c r="F5" s="12" t="s">
        <v>177</v>
      </c>
    </row>
    <row r="6">
      <c r="A6" s="14" t="s">
        <v>175</v>
      </c>
      <c r="B6" s="16" t="s">
        <v>176</v>
      </c>
      <c r="C6" s="16" t="s">
        <v>79</v>
      </c>
      <c r="D6" s="17" t="s">
        <v>141</v>
      </c>
      <c r="E6" s="15">
        <v>2178.0</v>
      </c>
      <c r="F6" s="20" t="s">
        <v>177</v>
      </c>
    </row>
    <row r="7">
      <c r="A7" s="14" t="s">
        <v>164</v>
      </c>
      <c r="B7" s="16" t="s">
        <v>165</v>
      </c>
      <c r="C7" s="16" t="s">
        <v>46</v>
      </c>
      <c r="D7" s="17" t="s">
        <v>321</v>
      </c>
      <c r="E7" s="15">
        <v>5226.0</v>
      </c>
      <c r="F7" s="20" t="s">
        <v>166</v>
      </c>
    </row>
    <row r="8">
      <c r="A8" s="14" t="s">
        <v>164</v>
      </c>
      <c r="B8" s="16" t="s">
        <v>165</v>
      </c>
      <c r="C8" s="16" t="s">
        <v>46</v>
      </c>
      <c r="D8" s="17" t="s">
        <v>332</v>
      </c>
      <c r="E8" s="15">
        <v>3550.0</v>
      </c>
      <c r="F8" s="20" t="s">
        <v>166</v>
      </c>
    </row>
    <row r="9">
      <c r="A9" s="14" t="s">
        <v>164</v>
      </c>
      <c r="B9" s="16" t="s">
        <v>165</v>
      </c>
      <c r="C9" s="16" t="s">
        <v>46</v>
      </c>
      <c r="D9" s="17" t="s">
        <v>340</v>
      </c>
      <c r="E9" s="15">
        <v>2613.0</v>
      </c>
      <c r="F9" s="20" t="s">
        <v>166</v>
      </c>
    </row>
    <row r="10">
      <c r="A10" s="14" t="s">
        <v>234</v>
      </c>
      <c r="B10" s="16" t="s">
        <v>130</v>
      </c>
      <c r="C10" s="16" t="s">
        <v>46</v>
      </c>
      <c r="D10" s="17" t="s">
        <v>348</v>
      </c>
      <c r="E10" s="15">
        <v>17.0</v>
      </c>
      <c r="F10" s="20" t="s">
        <v>235</v>
      </c>
    </row>
    <row r="11">
      <c r="A11" s="14" t="s">
        <v>234</v>
      </c>
      <c r="B11" s="16" t="s">
        <v>130</v>
      </c>
      <c r="C11" s="16" t="s">
        <v>46</v>
      </c>
      <c r="D11" s="17" t="s">
        <v>353</v>
      </c>
      <c r="E11" s="15">
        <v>15.0</v>
      </c>
      <c r="F11" s="20" t="s">
        <v>235</v>
      </c>
    </row>
    <row r="12">
      <c r="A12" s="14" t="s">
        <v>234</v>
      </c>
      <c r="B12" s="16" t="s">
        <v>130</v>
      </c>
      <c r="C12" s="16" t="s">
        <v>46</v>
      </c>
      <c r="D12" s="17" t="s">
        <v>359</v>
      </c>
      <c r="E12" s="15">
        <v>8.0</v>
      </c>
      <c r="F12" s="20" t="s">
        <v>235</v>
      </c>
    </row>
    <row r="13">
      <c r="A13" s="14" t="s">
        <v>234</v>
      </c>
      <c r="B13" s="16" t="s">
        <v>130</v>
      </c>
      <c r="C13" s="16" t="s">
        <v>114</v>
      </c>
      <c r="D13" s="17" t="s">
        <v>362</v>
      </c>
      <c r="E13" s="15">
        <v>136.0</v>
      </c>
      <c r="F13" s="20" t="s">
        <v>235</v>
      </c>
    </row>
    <row r="14">
      <c r="A14" s="14" t="s">
        <v>234</v>
      </c>
      <c r="B14" s="16" t="s">
        <v>130</v>
      </c>
      <c r="C14" s="16" t="s">
        <v>114</v>
      </c>
      <c r="D14" s="17" t="s">
        <v>367</v>
      </c>
      <c r="E14" s="15">
        <v>18.0</v>
      </c>
      <c r="F14" s="20" t="s">
        <v>235</v>
      </c>
    </row>
    <row r="15">
      <c r="A15" s="14" t="s">
        <v>234</v>
      </c>
      <c r="B15" s="16" t="s">
        <v>130</v>
      </c>
      <c r="C15" s="16" t="s">
        <v>97</v>
      </c>
      <c r="D15" s="17" t="s">
        <v>370</v>
      </c>
      <c r="E15" s="15">
        <v>2.0</v>
      </c>
      <c r="F15" s="20" t="s">
        <v>235</v>
      </c>
    </row>
    <row r="16">
      <c r="A16" s="14" t="s">
        <v>234</v>
      </c>
      <c r="B16" s="16" t="s">
        <v>130</v>
      </c>
      <c r="C16" s="16" t="s">
        <v>97</v>
      </c>
      <c r="D16" s="17" t="s">
        <v>375</v>
      </c>
      <c r="E16" s="15">
        <v>3.0</v>
      </c>
      <c r="F16" s="20" t="s">
        <v>235</v>
      </c>
    </row>
    <row r="17">
      <c r="A17" s="14" t="s">
        <v>234</v>
      </c>
      <c r="B17" s="16" t="s">
        <v>130</v>
      </c>
      <c r="C17" s="16" t="s">
        <v>97</v>
      </c>
      <c r="D17" s="17" t="s">
        <v>379</v>
      </c>
      <c r="E17" s="15">
        <v>118.0</v>
      </c>
      <c r="F17" s="20" t="s">
        <v>235</v>
      </c>
    </row>
    <row r="18">
      <c r="A18" s="14" t="s">
        <v>234</v>
      </c>
      <c r="B18" s="16" t="s">
        <v>130</v>
      </c>
      <c r="C18" s="16" t="s">
        <v>97</v>
      </c>
      <c r="D18" s="17" t="s">
        <v>384</v>
      </c>
      <c r="E18" s="15">
        <v>88.0</v>
      </c>
      <c r="F18" s="20" t="s">
        <v>235</v>
      </c>
    </row>
    <row r="19">
      <c r="A19" s="14" t="s">
        <v>234</v>
      </c>
      <c r="B19" s="16" t="s">
        <v>130</v>
      </c>
      <c r="C19" s="16" t="s">
        <v>97</v>
      </c>
      <c r="D19" s="17" t="s">
        <v>389</v>
      </c>
      <c r="E19" s="15">
        <v>52.0</v>
      </c>
      <c r="F19" s="20" t="s">
        <v>235</v>
      </c>
    </row>
    <row r="20">
      <c r="A20" s="14" t="s">
        <v>234</v>
      </c>
      <c r="B20" s="16" t="s">
        <v>130</v>
      </c>
      <c r="C20" s="16" t="s">
        <v>97</v>
      </c>
      <c r="D20" s="17" t="s">
        <v>393</v>
      </c>
      <c r="E20" s="15">
        <v>32.0</v>
      </c>
      <c r="F20" s="20" t="s">
        <v>235</v>
      </c>
    </row>
    <row r="21" ht="15.75" customHeight="1">
      <c r="A21" s="14" t="s">
        <v>234</v>
      </c>
      <c r="B21" s="16" t="s">
        <v>130</v>
      </c>
      <c r="C21" s="16" t="s">
        <v>97</v>
      </c>
      <c r="D21" s="17" t="s">
        <v>396</v>
      </c>
      <c r="E21" s="15">
        <v>24.0</v>
      </c>
      <c r="F21" s="20" t="s">
        <v>235</v>
      </c>
    </row>
    <row r="22" ht="15.75" customHeight="1">
      <c r="A22" s="14" t="s">
        <v>234</v>
      </c>
      <c r="B22" s="16" t="s">
        <v>130</v>
      </c>
      <c r="C22" s="16" t="s">
        <v>97</v>
      </c>
      <c r="D22" s="17" t="s">
        <v>400</v>
      </c>
      <c r="E22" s="15">
        <v>12.0</v>
      </c>
      <c r="F22" s="20" t="s">
        <v>235</v>
      </c>
    </row>
    <row r="23" ht="15.75" customHeight="1">
      <c r="A23" s="14" t="s">
        <v>234</v>
      </c>
      <c r="B23" s="16" t="s">
        <v>130</v>
      </c>
      <c r="C23" s="16" t="s">
        <v>97</v>
      </c>
      <c r="D23" s="17" t="s">
        <v>404</v>
      </c>
      <c r="E23" s="15">
        <v>7.0</v>
      </c>
      <c r="F23" s="20" t="s">
        <v>235</v>
      </c>
    </row>
    <row r="24" ht="15.75" customHeight="1">
      <c r="A24" s="14" t="s">
        <v>234</v>
      </c>
      <c r="B24" s="16" t="s">
        <v>130</v>
      </c>
      <c r="C24" s="16" t="s">
        <v>97</v>
      </c>
      <c r="D24" s="17" t="s">
        <v>407</v>
      </c>
      <c r="E24" s="15">
        <v>11.0</v>
      </c>
      <c r="F24" s="20" t="s">
        <v>235</v>
      </c>
    </row>
    <row r="25" ht="15.75" customHeight="1">
      <c r="A25" s="14" t="s">
        <v>234</v>
      </c>
      <c r="B25" s="16" t="s">
        <v>130</v>
      </c>
      <c r="C25" s="16" t="s">
        <v>97</v>
      </c>
      <c r="D25" s="17" t="s">
        <v>409</v>
      </c>
      <c r="E25" s="15">
        <v>5.0</v>
      </c>
      <c r="F25" s="20" t="s">
        <v>235</v>
      </c>
    </row>
    <row r="26" ht="15.75" customHeight="1">
      <c r="A26" s="14" t="s">
        <v>128</v>
      </c>
      <c r="B26" s="16" t="s">
        <v>130</v>
      </c>
      <c r="C26" s="16" t="s">
        <v>46</v>
      </c>
      <c r="D26" s="17" t="s">
        <v>348</v>
      </c>
      <c r="E26" s="15">
        <v>300.0</v>
      </c>
      <c r="F26" s="20" t="s">
        <v>131</v>
      </c>
    </row>
    <row r="27" ht="15.75" customHeight="1">
      <c r="A27" s="14" t="s">
        <v>128</v>
      </c>
      <c r="B27" s="16" t="s">
        <v>130</v>
      </c>
      <c r="C27" s="16" t="s">
        <v>46</v>
      </c>
      <c r="D27" s="17" t="s">
        <v>353</v>
      </c>
      <c r="E27" s="15">
        <v>192.0</v>
      </c>
      <c r="F27" s="20" t="s">
        <v>131</v>
      </c>
    </row>
    <row r="28" ht="15.75" customHeight="1">
      <c r="A28" s="14" t="s">
        <v>128</v>
      </c>
      <c r="B28" s="16" t="s">
        <v>130</v>
      </c>
      <c r="C28" s="16" t="s">
        <v>46</v>
      </c>
      <c r="D28" s="17" t="s">
        <v>359</v>
      </c>
      <c r="E28" s="15">
        <v>149.0</v>
      </c>
      <c r="F28" s="20" t="s">
        <v>131</v>
      </c>
    </row>
    <row r="29" ht="15.75" customHeight="1">
      <c r="A29" s="14" t="s">
        <v>128</v>
      </c>
      <c r="B29" s="16" t="s">
        <v>130</v>
      </c>
      <c r="C29" s="16" t="s">
        <v>114</v>
      </c>
      <c r="D29" s="17" t="s">
        <v>413</v>
      </c>
      <c r="E29" s="15">
        <v>3.0</v>
      </c>
      <c r="F29" s="20" t="s">
        <v>131</v>
      </c>
    </row>
    <row r="30" ht="15.75" customHeight="1">
      <c r="A30" s="14" t="s">
        <v>128</v>
      </c>
      <c r="B30" s="16" t="s">
        <v>130</v>
      </c>
      <c r="C30" s="16" t="s">
        <v>114</v>
      </c>
      <c r="D30" s="17" t="s">
        <v>414</v>
      </c>
      <c r="E30" s="15">
        <v>3.0</v>
      </c>
      <c r="F30" s="20" t="s">
        <v>131</v>
      </c>
    </row>
    <row r="31" ht="15.75" customHeight="1">
      <c r="A31" s="14" t="s">
        <v>128</v>
      </c>
      <c r="B31" s="16" t="s">
        <v>130</v>
      </c>
      <c r="C31" s="16" t="s">
        <v>114</v>
      </c>
      <c r="D31" s="17" t="s">
        <v>362</v>
      </c>
      <c r="E31" s="15">
        <v>1505.0</v>
      </c>
      <c r="F31" s="20" t="s">
        <v>131</v>
      </c>
    </row>
    <row r="32" ht="15.75" customHeight="1">
      <c r="A32" s="14" t="s">
        <v>128</v>
      </c>
      <c r="B32" s="16" t="s">
        <v>130</v>
      </c>
      <c r="C32" s="16" t="s">
        <v>114</v>
      </c>
      <c r="D32" s="17" t="s">
        <v>367</v>
      </c>
      <c r="E32" s="15">
        <v>75.0</v>
      </c>
      <c r="F32" s="20" t="s">
        <v>131</v>
      </c>
    </row>
    <row r="33" ht="15.75" customHeight="1">
      <c r="A33" s="14" t="s">
        <v>128</v>
      </c>
      <c r="B33" s="16" t="s">
        <v>130</v>
      </c>
      <c r="C33" s="16" t="s">
        <v>97</v>
      </c>
      <c r="D33" s="17" t="s">
        <v>370</v>
      </c>
      <c r="E33" s="15">
        <v>103.0</v>
      </c>
      <c r="F33" s="20" t="s">
        <v>131</v>
      </c>
    </row>
    <row r="34" ht="15.75" customHeight="1">
      <c r="A34" s="14" t="s">
        <v>128</v>
      </c>
      <c r="B34" s="16" t="s">
        <v>130</v>
      </c>
      <c r="C34" s="16" t="s">
        <v>97</v>
      </c>
      <c r="D34" s="17" t="s">
        <v>375</v>
      </c>
      <c r="E34" s="15">
        <v>126.0</v>
      </c>
      <c r="F34" s="20" t="s">
        <v>131</v>
      </c>
    </row>
    <row r="35" ht="15.75" customHeight="1">
      <c r="A35" s="14" t="s">
        <v>128</v>
      </c>
      <c r="B35" s="16" t="s">
        <v>130</v>
      </c>
      <c r="C35" s="16" t="s">
        <v>97</v>
      </c>
      <c r="D35" s="17" t="s">
        <v>421</v>
      </c>
      <c r="E35" s="15">
        <v>8.0</v>
      </c>
      <c r="F35" s="20" t="s">
        <v>131</v>
      </c>
    </row>
    <row r="36" ht="15.75" customHeight="1">
      <c r="A36" s="14" t="s">
        <v>128</v>
      </c>
      <c r="B36" s="16" t="s">
        <v>130</v>
      </c>
      <c r="C36" s="16" t="s">
        <v>97</v>
      </c>
      <c r="D36" s="17" t="s">
        <v>425</v>
      </c>
      <c r="E36" s="15">
        <v>2.0</v>
      </c>
      <c r="F36" s="20" t="s">
        <v>131</v>
      </c>
    </row>
    <row r="37" ht="15.75" customHeight="1">
      <c r="A37" s="14" t="s">
        <v>128</v>
      </c>
      <c r="B37" s="16" t="s">
        <v>130</v>
      </c>
      <c r="C37" s="16" t="s">
        <v>97</v>
      </c>
      <c r="D37" s="17" t="s">
        <v>429</v>
      </c>
      <c r="E37" s="15">
        <v>2.0</v>
      </c>
      <c r="F37" s="20" t="s">
        <v>131</v>
      </c>
    </row>
    <row r="38" ht="15.75" customHeight="1">
      <c r="A38" s="14" t="s">
        <v>128</v>
      </c>
      <c r="B38" s="16" t="s">
        <v>130</v>
      </c>
      <c r="C38" s="16" t="s">
        <v>97</v>
      </c>
      <c r="D38" s="17" t="s">
        <v>379</v>
      </c>
      <c r="E38" s="15">
        <v>1810.0</v>
      </c>
      <c r="F38" s="20" t="s">
        <v>131</v>
      </c>
    </row>
    <row r="39" ht="15.75" customHeight="1">
      <c r="A39" s="14" t="s">
        <v>128</v>
      </c>
      <c r="B39" s="16" t="s">
        <v>130</v>
      </c>
      <c r="C39" s="16" t="s">
        <v>97</v>
      </c>
      <c r="D39" s="17" t="s">
        <v>435</v>
      </c>
      <c r="E39" s="15">
        <v>1.0</v>
      </c>
      <c r="F39" s="20" t="s">
        <v>131</v>
      </c>
    </row>
    <row r="40" ht="15.75" customHeight="1">
      <c r="A40" s="14" t="s">
        <v>128</v>
      </c>
      <c r="B40" s="16" t="s">
        <v>130</v>
      </c>
      <c r="C40" s="16" t="s">
        <v>97</v>
      </c>
      <c r="D40" s="17" t="s">
        <v>384</v>
      </c>
      <c r="E40" s="15">
        <v>1437.0</v>
      </c>
      <c r="F40" s="20" t="s">
        <v>131</v>
      </c>
    </row>
    <row r="41" ht="15.75" customHeight="1">
      <c r="A41" s="14" t="s">
        <v>128</v>
      </c>
      <c r="B41" s="16" t="s">
        <v>130</v>
      </c>
      <c r="C41" s="16" t="s">
        <v>97</v>
      </c>
      <c r="D41" s="17" t="s">
        <v>389</v>
      </c>
      <c r="E41" s="15">
        <v>811.0</v>
      </c>
      <c r="F41" s="20" t="s">
        <v>131</v>
      </c>
    </row>
    <row r="42" ht="15.75" customHeight="1">
      <c r="A42" s="14" t="s">
        <v>128</v>
      </c>
      <c r="B42" s="16" t="s">
        <v>130</v>
      </c>
      <c r="C42" s="16" t="s">
        <v>97</v>
      </c>
      <c r="D42" s="17" t="s">
        <v>393</v>
      </c>
      <c r="E42" s="15">
        <v>515.0</v>
      </c>
      <c r="F42" s="20" t="s">
        <v>131</v>
      </c>
    </row>
    <row r="43" ht="15.75" customHeight="1">
      <c r="A43" s="14" t="s">
        <v>128</v>
      </c>
      <c r="B43" s="16" t="s">
        <v>130</v>
      </c>
      <c r="C43" s="16" t="s">
        <v>97</v>
      </c>
      <c r="D43" s="17" t="s">
        <v>396</v>
      </c>
      <c r="E43" s="15">
        <v>252.0</v>
      </c>
      <c r="F43" s="20" t="s">
        <v>131</v>
      </c>
    </row>
    <row r="44" ht="15.75" customHeight="1">
      <c r="A44" s="14" t="s">
        <v>128</v>
      </c>
      <c r="B44" s="16" t="s">
        <v>130</v>
      </c>
      <c r="C44" s="16" t="s">
        <v>97</v>
      </c>
      <c r="D44" s="17" t="s">
        <v>400</v>
      </c>
      <c r="E44" s="15">
        <v>218.0</v>
      </c>
      <c r="F44" s="20" t="s">
        <v>131</v>
      </c>
    </row>
    <row r="45" ht="15.75" customHeight="1">
      <c r="A45" s="14" t="s">
        <v>128</v>
      </c>
      <c r="B45" s="16" t="s">
        <v>130</v>
      </c>
      <c r="C45" s="16" t="s">
        <v>97</v>
      </c>
      <c r="D45" s="17" t="s">
        <v>404</v>
      </c>
      <c r="E45" s="15">
        <v>154.0</v>
      </c>
      <c r="F45" s="20" t="s">
        <v>131</v>
      </c>
    </row>
    <row r="46" ht="15.75" customHeight="1">
      <c r="A46" s="14" t="s">
        <v>128</v>
      </c>
      <c r="B46" s="16" t="s">
        <v>130</v>
      </c>
      <c r="C46" s="16" t="s">
        <v>97</v>
      </c>
      <c r="D46" s="17" t="s">
        <v>407</v>
      </c>
      <c r="E46" s="15">
        <v>139.0</v>
      </c>
      <c r="F46" s="20" t="s">
        <v>131</v>
      </c>
    </row>
    <row r="47" ht="15.75" customHeight="1">
      <c r="A47" s="14" t="s">
        <v>128</v>
      </c>
      <c r="B47" s="16" t="s">
        <v>130</v>
      </c>
      <c r="C47" s="16" t="s">
        <v>97</v>
      </c>
      <c r="D47" s="17" t="s">
        <v>409</v>
      </c>
      <c r="E47" s="15">
        <v>94.0</v>
      </c>
      <c r="F47" s="20" t="s">
        <v>131</v>
      </c>
    </row>
    <row r="48" ht="15.75" customHeight="1">
      <c r="A48" s="14" t="s">
        <v>250</v>
      </c>
      <c r="B48" s="16" t="s">
        <v>140</v>
      </c>
      <c r="C48" s="16" t="s">
        <v>46</v>
      </c>
      <c r="D48" s="17" t="s">
        <v>454</v>
      </c>
      <c r="E48" s="15">
        <v>16.0</v>
      </c>
      <c r="F48" s="20" t="s">
        <v>252</v>
      </c>
    </row>
    <row r="49" ht="15.75" customHeight="1">
      <c r="A49" s="14" t="s">
        <v>250</v>
      </c>
      <c r="B49" s="16" t="s">
        <v>140</v>
      </c>
      <c r="C49" s="16" t="s">
        <v>46</v>
      </c>
      <c r="D49" s="17" t="s">
        <v>455</v>
      </c>
      <c r="E49" s="15">
        <v>5.0</v>
      </c>
      <c r="F49" s="20" t="s">
        <v>252</v>
      </c>
    </row>
    <row r="50" ht="15.75" customHeight="1">
      <c r="A50" s="14" t="s">
        <v>250</v>
      </c>
      <c r="B50" s="16" t="s">
        <v>140</v>
      </c>
      <c r="C50" s="16" t="s">
        <v>46</v>
      </c>
      <c r="D50" s="17" t="s">
        <v>459</v>
      </c>
      <c r="E50" s="15">
        <v>6.0</v>
      </c>
      <c r="F50" s="20" t="s">
        <v>252</v>
      </c>
    </row>
    <row r="51" ht="15.75" customHeight="1">
      <c r="A51" s="14" t="s">
        <v>250</v>
      </c>
      <c r="B51" s="16" t="s">
        <v>140</v>
      </c>
      <c r="C51" s="16" t="s">
        <v>114</v>
      </c>
      <c r="D51" s="17" t="s">
        <v>461</v>
      </c>
      <c r="E51" s="15">
        <v>40.0</v>
      </c>
      <c r="F51" s="20" t="s">
        <v>252</v>
      </c>
    </row>
    <row r="52" ht="15.75" customHeight="1">
      <c r="A52" s="14" t="s">
        <v>250</v>
      </c>
      <c r="B52" s="16" t="s">
        <v>140</v>
      </c>
      <c r="C52" s="16" t="s">
        <v>114</v>
      </c>
      <c r="D52" s="17" t="s">
        <v>463</v>
      </c>
      <c r="E52" s="15">
        <v>1.0</v>
      </c>
      <c r="F52" s="20" t="s">
        <v>252</v>
      </c>
    </row>
    <row r="53" ht="15.75" customHeight="1">
      <c r="A53" s="14" t="s">
        <v>250</v>
      </c>
      <c r="B53" s="16" t="s">
        <v>140</v>
      </c>
      <c r="C53" s="16" t="s">
        <v>97</v>
      </c>
      <c r="D53" s="17" t="s">
        <v>467</v>
      </c>
      <c r="E53" s="15">
        <v>54.0</v>
      </c>
      <c r="F53" s="20" t="s">
        <v>252</v>
      </c>
    </row>
    <row r="54" ht="15.75" customHeight="1">
      <c r="A54" s="14" t="s">
        <v>250</v>
      </c>
      <c r="B54" s="16" t="s">
        <v>140</v>
      </c>
      <c r="C54" s="16" t="s">
        <v>97</v>
      </c>
      <c r="D54" s="17" t="s">
        <v>469</v>
      </c>
      <c r="E54" s="15">
        <v>22.0</v>
      </c>
      <c r="F54" s="20" t="s">
        <v>252</v>
      </c>
    </row>
    <row r="55" ht="15.75" customHeight="1">
      <c r="A55" s="14" t="s">
        <v>250</v>
      </c>
      <c r="B55" s="16" t="s">
        <v>140</v>
      </c>
      <c r="C55" s="16" t="s">
        <v>97</v>
      </c>
      <c r="D55" s="17" t="s">
        <v>471</v>
      </c>
      <c r="E55" s="15">
        <v>9.0</v>
      </c>
      <c r="F55" s="20" t="s">
        <v>252</v>
      </c>
    </row>
    <row r="56" ht="15.75" customHeight="1">
      <c r="A56" s="14" t="s">
        <v>250</v>
      </c>
      <c r="B56" s="16" t="s">
        <v>140</v>
      </c>
      <c r="C56" s="16" t="s">
        <v>97</v>
      </c>
      <c r="D56" s="17" t="s">
        <v>474</v>
      </c>
      <c r="E56" s="15">
        <v>1.0</v>
      </c>
      <c r="F56" s="20" t="s">
        <v>252</v>
      </c>
    </row>
    <row r="57" ht="15.75" customHeight="1">
      <c r="A57" s="14" t="s">
        <v>250</v>
      </c>
      <c r="B57" s="16" t="s">
        <v>140</v>
      </c>
      <c r="C57" s="16" t="s">
        <v>97</v>
      </c>
      <c r="D57" s="17" t="s">
        <v>476</v>
      </c>
      <c r="E57" s="15">
        <v>6.0</v>
      </c>
      <c r="F57" s="20" t="s">
        <v>252</v>
      </c>
    </row>
    <row r="58" ht="15.75" customHeight="1">
      <c r="A58" s="14" t="s">
        <v>250</v>
      </c>
      <c r="B58" s="16" t="s">
        <v>140</v>
      </c>
      <c r="C58" s="16" t="s">
        <v>97</v>
      </c>
      <c r="D58" s="17" t="s">
        <v>478</v>
      </c>
      <c r="E58" s="15">
        <v>1.0</v>
      </c>
      <c r="F58" s="20" t="s">
        <v>252</v>
      </c>
    </row>
    <row r="59" ht="15.75" customHeight="1">
      <c r="A59" s="14" t="s">
        <v>250</v>
      </c>
      <c r="B59" s="16" t="s">
        <v>140</v>
      </c>
      <c r="C59" s="16" t="s">
        <v>97</v>
      </c>
      <c r="D59" s="17" t="s">
        <v>480</v>
      </c>
      <c r="E59" s="15">
        <v>37.0</v>
      </c>
      <c r="F59" s="20" t="s">
        <v>252</v>
      </c>
    </row>
    <row r="60" ht="15.75" customHeight="1">
      <c r="A60" s="14" t="s">
        <v>250</v>
      </c>
      <c r="B60" s="16" t="s">
        <v>140</v>
      </c>
      <c r="C60" s="16" t="s">
        <v>97</v>
      </c>
      <c r="D60" s="17" t="s">
        <v>481</v>
      </c>
      <c r="E60" s="15">
        <v>17.0</v>
      </c>
      <c r="F60" s="20" t="s">
        <v>252</v>
      </c>
    </row>
    <row r="61" ht="15.75" customHeight="1">
      <c r="A61" s="14" t="s">
        <v>250</v>
      </c>
      <c r="B61" s="16" t="s">
        <v>140</v>
      </c>
      <c r="C61" s="16" t="s">
        <v>97</v>
      </c>
      <c r="D61" s="17" t="s">
        <v>483</v>
      </c>
      <c r="E61" s="15">
        <v>28.0</v>
      </c>
      <c r="F61" s="20" t="s">
        <v>252</v>
      </c>
    </row>
    <row r="62" ht="15.75" customHeight="1">
      <c r="A62" s="14" t="s">
        <v>250</v>
      </c>
      <c r="B62" s="16" t="s">
        <v>140</v>
      </c>
      <c r="C62" s="16" t="s">
        <v>97</v>
      </c>
      <c r="D62" s="17" t="s">
        <v>484</v>
      </c>
      <c r="E62" s="15">
        <v>10.0</v>
      </c>
      <c r="F62" s="20" t="s">
        <v>252</v>
      </c>
    </row>
    <row r="63" ht="15.75" customHeight="1">
      <c r="A63" s="14" t="s">
        <v>250</v>
      </c>
      <c r="B63" s="16" t="s">
        <v>140</v>
      </c>
      <c r="C63" s="16" t="s">
        <v>97</v>
      </c>
      <c r="D63" s="17" t="s">
        <v>487</v>
      </c>
      <c r="E63" s="15">
        <v>22.0</v>
      </c>
      <c r="F63" s="20" t="s">
        <v>252</v>
      </c>
    </row>
    <row r="64" ht="15.75" customHeight="1">
      <c r="A64" s="14" t="s">
        <v>250</v>
      </c>
      <c r="B64" s="16" t="s">
        <v>140</v>
      </c>
      <c r="C64" s="16" t="s">
        <v>97</v>
      </c>
      <c r="D64" s="17" t="s">
        <v>489</v>
      </c>
      <c r="E64" s="15">
        <v>3.0</v>
      </c>
      <c r="F64" s="20" t="s">
        <v>252</v>
      </c>
    </row>
    <row r="65" ht="15.75" customHeight="1">
      <c r="A65" s="14" t="s">
        <v>250</v>
      </c>
      <c r="B65" s="16" t="s">
        <v>140</v>
      </c>
      <c r="C65" s="16" t="s">
        <v>97</v>
      </c>
      <c r="D65" s="17" t="s">
        <v>491</v>
      </c>
      <c r="E65" s="15">
        <v>12.0</v>
      </c>
      <c r="F65" s="20" t="s">
        <v>252</v>
      </c>
    </row>
    <row r="66" ht="15.75" customHeight="1">
      <c r="A66" s="14" t="s">
        <v>250</v>
      </c>
      <c r="B66" s="16" t="s">
        <v>140</v>
      </c>
      <c r="C66" s="16" t="s">
        <v>97</v>
      </c>
      <c r="D66" s="17" t="s">
        <v>492</v>
      </c>
      <c r="E66" s="15">
        <v>1.0</v>
      </c>
      <c r="F66" s="20" t="s">
        <v>252</v>
      </c>
    </row>
    <row r="67" ht="15.75" customHeight="1">
      <c r="A67" s="14" t="s">
        <v>250</v>
      </c>
      <c r="B67" s="16" t="s">
        <v>140</v>
      </c>
      <c r="C67" s="16" t="s">
        <v>97</v>
      </c>
      <c r="D67" s="17" t="s">
        <v>495</v>
      </c>
      <c r="E67" s="15">
        <v>8.0</v>
      </c>
      <c r="F67" s="20" t="s">
        <v>252</v>
      </c>
    </row>
    <row r="68" ht="15.75" customHeight="1">
      <c r="A68" s="14" t="s">
        <v>250</v>
      </c>
      <c r="B68" s="16" t="s">
        <v>140</v>
      </c>
      <c r="C68" s="16" t="s">
        <v>97</v>
      </c>
      <c r="D68" s="17" t="s">
        <v>497</v>
      </c>
      <c r="E68" s="15">
        <v>16.0</v>
      </c>
      <c r="F68" s="20" t="s">
        <v>252</v>
      </c>
    </row>
    <row r="69" ht="15.75" customHeight="1">
      <c r="A69" s="14" t="s">
        <v>250</v>
      </c>
      <c r="B69" s="16" t="s">
        <v>140</v>
      </c>
      <c r="C69" s="16" t="s">
        <v>97</v>
      </c>
      <c r="D69" s="17" t="s">
        <v>499</v>
      </c>
      <c r="E69" s="15">
        <v>1.0</v>
      </c>
      <c r="F69" s="20" t="s">
        <v>252</v>
      </c>
    </row>
    <row r="70" ht="15.75" customHeight="1">
      <c r="A70" s="14" t="s">
        <v>250</v>
      </c>
      <c r="B70" s="16" t="s">
        <v>140</v>
      </c>
      <c r="C70" s="16" t="s">
        <v>97</v>
      </c>
      <c r="D70" s="17" t="s">
        <v>500</v>
      </c>
      <c r="E70" s="15">
        <v>10.0</v>
      </c>
      <c r="F70" s="20" t="s">
        <v>252</v>
      </c>
    </row>
    <row r="71" ht="15.75" customHeight="1">
      <c r="A71" s="14" t="s">
        <v>250</v>
      </c>
      <c r="B71" s="16" t="s">
        <v>140</v>
      </c>
      <c r="C71" s="16" t="s">
        <v>97</v>
      </c>
      <c r="D71" s="17" t="s">
        <v>503</v>
      </c>
      <c r="E71" s="15">
        <v>5.0</v>
      </c>
      <c r="F71" s="20" t="s">
        <v>252</v>
      </c>
    </row>
    <row r="72" ht="15.75" customHeight="1">
      <c r="A72" s="14" t="s">
        <v>205</v>
      </c>
      <c r="B72" s="16" t="s">
        <v>140</v>
      </c>
      <c r="C72" s="16" t="s">
        <v>46</v>
      </c>
      <c r="D72" s="17" t="s">
        <v>439</v>
      </c>
      <c r="E72" s="15">
        <v>431.0</v>
      </c>
      <c r="F72" s="20" t="s">
        <v>206</v>
      </c>
    </row>
    <row r="73" ht="15.75" customHeight="1">
      <c r="A73" s="14" t="s">
        <v>205</v>
      </c>
      <c r="B73" s="16" t="s">
        <v>140</v>
      </c>
      <c r="C73" s="16" t="s">
        <v>46</v>
      </c>
      <c r="D73" s="17" t="s">
        <v>448</v>
      </c>
      <c r="E73" s="15">
        <v>217.0</v>
      </c>
      <c r="F73" s="20" t="s">
        <v>206</v>
      </c>
    </row>
    <row r="74" ht="15.75" customHeight="1">
      <c r="A74" s="14" t="s">
        <v>205</v>
      </c>
      <c r="B74" s="16" t="s">
        <v>140</v>
      </c>
      <c r="C74" s="16" t="s">
        <v>46</v>
      </c>
      <c r="D74" s="17" t="s">
        <v>452</v>
      </c>
      <c r="E74" s="15">
        <v>114.0</v>
      </c>
      <c r="F74" s="20" t="s">
        <v>206</v>
      </c>
    </row>
    <row r="75" ht="15.75" customHeight="1">
      <c r="A75" s="14" t="s">
        <v>205</v>
      </c>
      <c r="B75" s="16" t="s">
        <v>140</v>
      </c>
      <c r="C75" s="16" t="s">
        <v>46</v>
      </c>
      <c r="D75" s="17" t="s">
        <v>509</v>
      </c>
      <c r="E75" s="15">
        <v>162.0</v>
      </c>
      <c r="F75" s="20" t="s">
        <v>206</v>
      </c>
    </row>
    <row r="76" ht="15.75" customHeight="1">
      <c r="A76" s="14" t="s">
        <v>205</v>
      </c>
      <c r="B76" s="16" t="s">
        <v>140</v>
      </c>
      <c r="C76" s="16" t="s">
        <v>46</v>
      </c>
      <c r="D76" s="17" t="s">
        <v>516</v>
      </c>
      <c r="E76" s="15">
        <v>81.0</v>
      </c>
      <c r="F76" s="20" t="s">
        <v>206</v>
      </c>
    </row>
    <row r="77" ht="15.75" customHeight="1">
      <c r="A77" s="14" t="s">
        <v>205</v>
      </c>
      <c r="B77" s="16" t="s">
        <v>140</v>
      </c>
      <c r="C77" s="16" t="s">
        <v>46</v>
      </c>
      <c r="D77" s="17" t="s">
        <v>518</v>
      </c>
      <c r="E77" s="15">
        <v>29.0</v>
      </c>
      <c r="F77" s="20" t="s">
        <v>206</v>
      </c>
    </row>
    <row r="78" ht="15.75" customHeight="1">
      <c r="A78" s="14" t="s">
        <v>205</v>
      </c>
      <c r="B78" s="16" t="s">
        <v>140</v>
      </c>
      <c r="C78" s="16" t="s">
        <v>46</v>
      </c>
      <c r="D78" s="17" t="s">
        <v>520</v>
      </c>
      <c r="E78" s="15">
        <v>69.0</v>
      </c>
      <c r="F78" s="20" t="s">
        <v>206</v>
      </c>
    </row>
    <row r="79" ht="15.75" customHeight="1">
      <c r="A79" s="14" t="s">
        <v>205</v>
      </c>
      <c r="B79" s="16" t="s">
        <v>140</v>
      </c>
      <c r="C79" s="16" t="s">
        <v>46</v>
      </c>
      <c r="D79" s="17" t="s">
        <v>521</v>
      </c>
      <c r="E79" s="15">
        <v>29.0</v>
      </c>
      <c r="F79" s="20" t="s">
        <v>206</v>
      </c>
    </row>
    <row r="80" ht="15.75" customHeight="1">
      <c r="A80" s="14" t="s">
        <v>205</v>
      </c>
      <c r="B80" s="16" t="s">
        <v>140</v>
      </c>
      <c r="C80" s="16" t="s">
        <v>46</v>
      </c>
      <c r="D80" s="17" t="s">
        <v>529</v>
      </c>
      <c r="E80" s="15">
        <v>10.0</v>
      </c>
      <c r="F80" s="20" t="s">
        <v>206</v>
      </c>
    </row>
    <row r="81" ht="15.75" customHeight="1">
      <c r="A81" s="14" t="s">
        <v>205</v>
      </c>
      <c r="B81" s="16" t="s">
        <v>140</v>
      </c>
      <c r="C81" s="16" t="s">
        <v>114</v>
      </c>
      <c r="D81" s="17" t="s">
        <v>531</v>
      </c>
      <c r="E81" s="15">
        <v>507.0</v>
      </c>
      <c r="F81" s="20" t="s">
        <v>206</v>
      </c>
    </row>
    <row r="82" ht="15.75" customHeight="1">
      <c r="A82" s="14" t="s">
        <v>205</v>
      </c>
      <c r="B82" s="16" t="s">
        <v>140</v>
      </c>
      <c r="C82" s="16" t="s">
        <v>114</v>
      </c>
      <c r="D82" s="17" t="s">
        <v>535</v>
      </c>
      <c r="E82" s="15">
        <v>277.0</v>
      </c>
      <c r="F82" s="20" t="s">
        <v>206</v>
      </c>
    </row>
    <row r="83" ht="15.75" customHeight="1">
      <c r="A83" s="14" t="s">
        <v>205</v>
      </c>
      <c r="B83" s="16" t="s">
        <v>140</v>
      </c>
      <c r="C83" s="16" t="s">
        <v>114</v>
      </c>
      <c r="D83" s="17" t="s">
        <v>540</v>
      </c>
      <c r="E83" s="15">
        <v>145.0</v>
      </c>
      <c r="F83" s="20" t="s">
        <v>206</v>
      </c>
    </row>
    <row r="84" ht="15.75" customHeight="1">
      <c r="A84" s="14" t="s">
        <v>205</v>
      </c>
      <c r="B84" s="16" t="s">
        <v>140</v>
      </c>
      <c r="C84" s="16" t="s">
        <v>114</v>
      </c>
      <c r="D84" s="17" t="s">
        <v>544</v>
      </c>
      <c r="E84" s="15">
        <v>253.0</v>
      </c>
      <c r="F84" s="20" t="s">
        <v>206</v>
      </c>
    </row>
    <row r="85" ht="15.75" customHeight="1">
      <c r="A85" s="14" t="s">
        <v>205</v>
      </c>
      <c r="B85" s="16" t="s">
        <v>140</v>
      </c>
      <c r="C85" s="16" t="s">
        <v>114</v>
      </c>
      <c r="D85" s="17" t="s">
        <v>547</v>
      </c>
      <c r="E85" s="15">
        <v>109.0</v>
      </c>
      <c r="F85" s="20" t="s">
        <v>206</v>
      </c>
    </row>
    <row r="86" ht="15.75" customHeight="1">
      <c r="A86" s="14" t="s">
        <v>205</v>
      </c>
      <c r="B86" s="16" t="s">
        <v>140</v>
      </c>
      <c r="C86" s="16" t="s">
        <v>114</v>
      </c>
      <c r="D86" s="17" t="s">
        <v>549</v>
      </c>
      <c r="E86" s="15">
        <v>55.0</v>
      </c>
      <c r="F86" s="20" t="s">
        <v>206</v>
      </c>
    </row>
    <row r="87" ht="15.75" customHeight="1">
      <c r="A87" s="14" t="s">
        <v>205</v>
      </c>
      <c r="B87" s="16" t="s">
        <v>140</v>
      </c>
      <c r="C87" s="16" t="s">
        <v>114</v>
      </c>
      <c r="D87" s="17" t="s">
        <v>552</v>
      </c>
      <c r="E87" s="15">
        <v>55.0</v>
      </c>
      <c r="F87" s="20" t="s">
        <v>206</v>
      </c>
    </row>
    <row r="88" ht="15.75" customHeight="1">
      <c r="A88" s="14" t="s">
        <v>205</v>
      </c>
      <c r="B88" s="16" t="s">
        <v>140</v>
      </c>
      <c r="C88" s="16" t="s">
        <v>114</v>
      </c>
      <c r="D88" s="17" t="s">
        <v>554</v>
      </c>
      <c r="E88" s="15">
        <v>24.0</v>
      </c>
      <c r="F88" s="20" t="s">
        <v>206</v>
      </c>
    </row>
    <row r="89" ht="15.75" customHeight="1">
      <c r="A89" s="14" t="s">
        <v>205</v>
      </c>
      <c r="B89" s="16" t="s">
        <v>140</v>
      </c>
      <c r="C89" s="16" t="s">
        <v>114</v>
      </c>
      <c r="D89" s="17" t="s">
        <v>556</v>
      </c>
      <c r="E89" s="15">
        <v>14.0</v>
      </c>
      <c r="F89" s="20" t="s">
        <v>206</v>
      </c>
    </row>
    <row r="90" ht="15.75" customHeight="1">
      <c r="A90" s="14" t="s">
        <v>205</v>
      </c>
      <c r="B90" s="16" t="s">
        <v>140</v>
      </c>
      <c r="C90" s="16" t="s">
        <v>114</v>
      </c>
      <c r="D90" s="17" t="s">
        <v>558</v>
      </c>
      <c r="E90" s="15">
        <v>24.0</v>
      </c>
      <c r="F90" s="20" t="s">
        <v>206</v>
      </c>
    </row>
    <row r="91" ht="15.75" customHeight="1">
      <c r="A91" s="14" t="s">
        <v>205</v>
      </c>
      <c r="B91" s="16" t="s">
        <v>140</v>
      </c>
      <c r="C91" s="16" t="s">
        <v>114</v>
      </c>
      <c r="D91" s="17" t="s">
        <v>560</v>
      </c>
      <c r="E91" s="15">
        <v>11.0</v>
      </c>
      <c r="F91" s="20" t="s">
        <v>206</v>
      </c>
    </row>
    <row r="92" ht="15.75" customHeight="1">
      <c r="A92" s="14" t="s">
        <v>205</v>
      </c>
      <c r="B92" s="16" t="s">
        <v>140</v>
      </c>
      <c r="C92" s="16" t="s">
        <v>114</v>
      </c>
      <c r="D92" s="17" t="s">
        <v>562</v>
      </c>
      <c r="E92" s="15">
        <v>4.0</v>
      </c>
      <c r="F92" s="20" t="s">
        <v>206</v>
      </c>
    </row>
    <row r="93" ht="15.75" customHeight="1">
      <c r="A93" s="14" t="s">
        <v>205</v>
      </c>
      <c r="B93" s="16" t="s">
        <v>140</v>
      </c>
      <c r="C93" s="16" t="s">
        <v>114</v>
      </c>
      <c r="D93" s="17" t="s">
        <v>563</v>
      </c>
      <c r="E93" s="15">
        <v>6.0</v>
      </c>
      <c r="F93" s="20" t="s">
        <v>206</v>
      </c>
    </row>
    <row r="94" ht="15.75" customHeight="1">
      <c r="A94" s="14" t="s">
        <v>205</v>
      </c>
      <c r="B94" s="16" t="s">
        <v>140</v>
      </c>
      <c r="C94" s="16" t="s">
        <v>114</v>
      </c>
      <c r="D94" s="17" t="s">
        <v>566</v>
      </c>
      <c r="E94" s="15">
        <v>4.0</v>
      </c>
      <c r="F94" s="20" t="s">
        <v>206</v>
      </c>
    </row>
    <row r="95" ht="15.75" customHeight="1">
      <c r="A95" s="14" t="s">
        <v>205</v>
      </c>
      <c r="B95" s="16" t="s">
        <v>140</v>
      </c>
      <c r="C95" s="16" t="s">
        <v>114</v>
      </c>
      <c r="D95" s="17" t="s">
        <v>567</v>
      </c>
      <c r="E95" s="15">
        <v>3.0</v>
      </c>
      <c r="F95" s="20" t="s">
        <v>206</v>
      </c>
    </row>
    <row r="96" ht="15.75" customHeight="1">
      <c r="A96" s="14" t="s">
        <v>205</v>
      </c>
      <c r="B96" s="16" t="s">
        <v>140</v>
      </c>
      <c r="C96" s="16" t="s">
        <v>97</v>
      </c>
      <c r="D96" s="17" t="s">
        <v>569</v>
      </c>
      <c r="E96" s="15">
        <v>3.0</v>
      </c>
      <c r="F96" s="20" t="s">
        <v>206</v>
      </c>
    </row>
    <row r="97" ht="15.75" customHeight="1">
      <c r="A97" s="14" t="s">
        <v>205</v>
      </c>
      <c r="B97" s="16" t="s">
        <v>140</v>
      </c>
      <c r="C97" s="16" t="s">
        <v>97</v>
      </c>
      <c r="D97" s="17" t="s">
        <v>570</v>
      </c>
      <c r="E97" s="15">
        <v>1.0</v>
      </c>
      <c r="F97" s="20" t="s">
        <v>206</v>
      </c>
    </row>
    <row r="98" ht="15.75" customHeight="1">
      <c r="A98" s="14" t="s">
        <v>205</v>
      </c>
      <c r="B98" s="16" t="s">
        <v>140</v>
      </c>
      <c r="C98" s="16" t="s">
        <v>97</v>
      </c>
      <c r="D98" s="17" t="s">
        <v>571</v>
      </c>
      <c r="E98" s="15">
        <v>131.0</v>
      </c>
      <c r="F98" s="20" t="s">
        <v>206</v>
      </c>
    </row>
    <row r="99" ht="15.75" customHeight="1">
      <c r="A99" s="14" t="s">
        <v>205</v>
      </c>
      <c r="B99" s="16" t="s">
        <v>140</v>
      </c>
      <c r="C99" s="16" t="s">
        <v>97</v>
      </c>
      <c r="D99" s="17" t="s">
        <v>573</v>
      </c>
      <c r="E99" s="15">
        <v>37.0</v>
      </c>
      <c r="F99" s="20" t="s">
        <v>206</v>
      </c>
    </row>
    <row r="100" ht="15.75" customHeight="1">
      <c r="A100" s="14" t="s">
        <v>205</v>
      </c>
      <c r="B100" s="16" t="s">
        <v>140</v>
      </c>
      <c r="C100" s="16" t="s">
        <v>97</v>
      </c>
      <c r="D100" s="17" t="s">
        <v>574</v>
      </c>
      <c r="E100" s="15">
        <v>33.0</v>
      </c>
      <c r="F100" s="20" t="s">
        <v>206</v>
      </c>
    </row>
    <row r="101" ht="15.75" customHeight="1">
      <c r="A101" s="14" t="s">
        <v>205</v>
      </c>
      <c r="B101" s="16" t="s">
        <v>140</v>
      </c>
      <c r="C101" s="16" t="s">
        <v>97</v>
      </c>
      <c r="D101" s="17" t="s">
        <v>577</v>
      </c>
      <c r="E101" s="15">
        <v>4.0</v>
      </c>
      <c r="F101" s="20" t="s">
        <v>206</v>
      </c>
    </row>
    <row r="102" ht="15.75" customHeight="1">
      <c r="A102" s="14" t="s">
        <v>205</v>
      </c>
      <c r="B102" s="16" t="s">
        <v>140</v>
      </c>
      <c r="C102" s="16" t="s">
        <v>97</v>
      </c>
      <c r="D102" s="17" t="s">
        <v>579</v>
      </c>
      <c r="E102" s="15">
        <v>2.0</v>
      </c>
      <c r="F102" s="20" t="s">
        <v>206</v>
      </c>
    </row>
    <row r="103" ht="15.75" customHeight="1">
      <c r="A103" s="14" t="s">
        <v>205</v>
      </c>
      <c r="B103" s="16" t="s">
        <v>140</v>
      </c>
      <c r="C103" s="16" t="s">
        <v>97</v>
      </c>
      <c r="D103" s="17" t="s">
        <v>580</v>
      </c>
      <c r="E103" s="15">
        <v>1.0</v>
      </c>
      <c r="F103" s="20" t="s">
        <v>206</v>
      </c>
    </row>
    <row r="104" ht="15.75" customHeight="1">
      <c r="A104" s="14" t="s">
        <v>205</v>
      </c>
      <c r="B104" s="16" t="s">
        <v>140</v>
      </c>
      <c r="C104" s="16" t="s">
        <v>97</v>
      </c>
      <c r="D104" s="17" t="s">
        <v>582</v>
      </c>
      <c r="E104" s="15">
        <v>39.0</v>
      </c>
      <c r="F104" s="20" t="s">
        <v>206</v>
      </c>
    </row>
    <row r="105" ht="15.75" customHeight="1">
      <c r="A105" s="14" t="s">
        <v>205</v>
      </c>
      <c r="B105" s="16" t="s">
        <v>140</v>
      </c>
      <c r="C105" s="16" t="s">
        <v>97</v>
      </c>
      <c r="D105" s="17" t="s">
        <v>585</v>
      </c>
      <c r="E105" s="15">
        <v>101.0</v>
      </c>
      <c r="F105" s="20" t="s">
        <v>206</v>
      </c>
    </row>
    <row r="106" ht="15.75" customHeight="1">
      <c r="A106" s="14" t="s">
        <v>205</v>
      </c>
      <c r="B106" s="16" t="s">
        <v>140</v>
      </c>
      <c r="C106" s="16" t="s">
        <v>97</v>
      </c>
      <c r="D106" s="17" t="s">
        <v>587</v>
      </c>
      <c r="E106" s="15">
        <v>25.0</v>
      </c>
      <c r="F106" s="20" t="s">
        <v>206</v>
      </c>
    </row>
    <row r="107" ht="15.75" customHeight="1">
      <c r="A107" s="14" t="s">
        <v>205</v>
      </c>
      <c r="B107" s="16" t="s">
        <v>140</v>
      </c>
      <c r="C107" s="16" t="s">
        <v>97</v>
      </c>
      <c r="D107" s="17" t="s">
        <v>589</v>
      </c>
      <c r="E107" s="15">
        <v>12.0</v>
      </c>
      <c r="F107" s="20" t="s">
        <v>206</v>
      </c>
    </row>
    <row r="108" ht="15.75" customHeight="1">
      <c r="A108" s="14" t="s">
        <v>205</v>
      </c>
      <c r="B108" s="16" t="s">
        <v>140</v>
      </c>
      <c r="C108" s="16" t="s">
        <v>97</v>
      </c>
      <c r="D108" s="17" t="s">
        <v>596</v>
      </c>
      <c r="E108" s="15">
        <v>1.0</v>
      </c>
      <c r="F108" s="20" t="s">
        <v>206</v>
      </c>
    </row>
    <row r="109" ht="15.75" customHeight="1">
      <c r="A109" s="14" t="s">
        <v>205</v>
      </c>
      <c r="B109" s="16" t="s">
        <v>140</v>
      </c>
      <c r="C109" s="16" t="s">
        <v>97</v>
      </c>
      <c r="D109" s="17" t="s">
        <v>601</v>
      </c>
      <c r="E109" s="15">
        <v>22.0</v>
      </c>
      <c r="F109" s="20" t="s">
        <v>206</v>
      </c>
    </row>
    <row r="110" ht="15.75" customHeight="1">
      <c r="A110" s="14" t="s">
        <v>205</v>
      </c>
      <c r="B110" s="16" t="s">
        <v>140</v>
      </c>
      <c r="C110" s="16" t="s">
        <v>97</v>
      </c>
      <c r="D110" s="17" t="s">
        <v>608</v>
      </c>
      <c r="E110" s="15">
        <v>47.0</v>
      </c>
      <c r="F110" s="20" t="s">
        <v>206</v>
      </c>
    </row>
    <row r="111" ht="15.75" customHeight="1">
      <c r="A111" s="14" t="s">
        <v>205</v>
      </c>
      <c r="B111" s="16" t="s">
        <v>140</v>
      </c>
      <c r="C111" s="16" t="s">
        <v>97</v>
      </c>
      <c r="D111" s="17" t="s">
        <v>612</v>
      </c>
      <c r="E111" s="15">
        <v>6.0</v>
      </c>
      <c r="F111" s="20" t="s">
        <v>206</v>
      </c>
    </row>
    <row r="112" ht="15.75" customHeight="1">
      <c r="A112" s="14" t="s">
        <v>205</v>
      </c>
      <c r="B112" s="16" t="s">
        <v>140</v>
      </c>
      <c r="C112" s="16" t="s">
        <v>97</v>
      </c>
      <c r="D112" s="17" t="s">
        <v>619</v>
      </c>
      <c r="E112" s="15">
        <v>6.0</v>
      </c>
      <c r="F112" s="20" t="s">
        <v>206</v>
      </c>
    </row>
    <row r="113" ht="15.75" customHeight="1">
      <c r="A113" s="14" t="s">
        <v>205</v>
      </c>
      <c r="B113" s="16" t="s">
        <v>140</v>
      </c>
      <c r="C113" s="16" t="s">
        <v>97</v>
      </c>
      <c r="D113" s="17" t="s">
        <v>625</v>
      </c>
      <c r="E113" s="15">
        <v>4.0</v>
      </c>
      <c r="F113" s="20" t="s">
        <v>206</v>
      </c>
    </row>
    <row r="114" ht="15.75" customHeight="1">
      <c r="A114" s="14" t="s">
        <v>205</v>
      </c>
      <c r="B114" s="16" t="s">
        <v>140</v>
      </c>
      <c r="C114" s="16" t="s">
        <v>97</v>
      </c>
      <c r="D114" s="17" t="s">
        <v>630</v>
      </c>
      <c r="E114" s="15">
        <v>27.0</v>
      </c>
      <c r="F114" s="20" t="s">
        <v>206</v>
      </c>
    </row>
    <row r="115" ht="15.75" customHeight="1">
      <c r="A115" s="14" t="s">
        <v>205</v>
      </c>
      <c r="B115" s="16" t="s">
        <v>140</v>
      </c>
      <c r="C115" s="16" t="s">
        <v>97</v>
      </c>
      <c r="D115" s="17" t="s">
        <v>635</v>
      </c>
      <c r="E115" s="15">
        <v>2.0</v>
      </c>
      <c r="F115" s="20" t="s">
        <v>206</v>
      </c>
    </row>
    <row r="116" ht="15.75" customHeight="1">
      <c r="A116" s="14" t="s">
        <v>205</v>
      </c>
      <c r="B116" s="16" t="s">
        <v>140</v>
      </c>
      <c r="C116" s="16" t="s">
        <v>97</v>
      </c>
      <c r="D116" s="17" t="s">
        <v>641</v>
      </c>
      <c r="E116" s="15">
        <v>1.0</v>
      </c>
      <c r="F116" s="20" t="s">
        <v>206</v>
      </c>
    </row>
    <row r="117" ht="15.75" customHeight="1">
      <c r="A117" s="14" t="s">
        <v>205</v>
      </c>
      <c r="B117" s="16" t="s">
        <v>140</v>
      </c>
      <c r="C117" s="16" t="s">
        <v>97</v>
      </c>
      <c r="D117" s="17" t="s">
        <v>646</v>
      </c>
      <c r="E117" s="15">
        <v>1.0</v>
      </c>
      <c r="F117" s="20" t="s">
        <v>206</v>
      </c>
    </row>
    <row r="118" ht="15.75" customHeight="1">
      <c r="A118" s="14" t="s">
        <v>205</v>
      </c>
      <c r="B118" s="16" t="s">
        <v>140</v>
      </c>
      <c r="C118" s="16" t="s">
        <v>97</v>
      </c>
      <c r="D118" s="17" t="s">
        <v>649</v>
      </c>
      <c r="E118" s="15">
        <v>24.0</v>
      </c>
      <c r="F118" s="20" t="s">
        <v>206</v>
      </c>
    </row>
    <row r="119" ht="15.75" customHeight="1">
      <c r="A119" s="14" t="s">
        <v>205</v>
      </c>
      <c r="B119" s="16" t="s">
        <v>140</v>
      </c>
      <c r="C119" s="16" t="s">
        <v>97</v>
      </c>
      <c r="D119" s="17" t="s">
        <v>653</v>
      </c>
      <c r="E119" s="15">
        <v>2.0</v>
      </c>
      <c r="F119" s="20" t="s">
        <v>206</v>
      </c>
    </row>
    <row r="120" ht="15.75" customHeight="1">
      <c r="A120" s="14" t="s">
        <v>205</v>
      </c>
      <c r="B120" s="16" t="s">
        <v>140</v>
      </c>
      <c r="C120" s="16" t="s">
        <v>97</v>
      </c>
      <c r="D120" s="17" t="s">
        <v>657</v>
      </c>
      <c r="E120" s="15">
        <v>1.0</v>
      </c>
      <c r="F120" s="20" t="s">
        <v>206</v>
      </c>
    </row>
    <row r="121" ht="15.75" customHeight="1">
      <c r="A121" s="14" t="s">
        <v>205</v>
      </c>
      <c r="B121" s="16" t="s">
        <v>140</v>
      </c>
      <c r="C121" s="16" t="s">
        <v>97</v>
      </c>
      <c r="D121" s="17" t="s">
        <v>661</v>
      </c>
      <c r="E121" s="15">
        <v>8.0</v>
      </c>
      <c r="F121" s="20" t="s">
        <v>206</v>
      </c>
    </row>
    <row r="122" ht="15.75" customHeight="1">
      <c r="A122" s="14" t="s">
        <v>205</v>
      </c>
      <c r="B122" s="16" t="s">
        <v>140</v>
      </c>
      <c r="C122" s="16" t="s">
        <v>97</v>
      </c>
      <c r="D122" s="17" t="s">
        <v>666</v>
      </c>
      <c r="E122" s="15">
        <v>7.0</v>
      </c>
      <c r="F122" s="20" t="s">
        <v>206</v>
      </c>
    </row>
    <row r="123" ht="15.75" customHeight="1">
      <c r="A123" s="14" t="s">
        <v>205</v>
      </c>
      <c r="B123" s="16" t="s">
        <v>140</v>
      </c>
      <c r="C123" s="16" t="s">
        <v>97</v>
      </c>
      <c r="D123" s="17" t="s">
        <v>672</v>
      </c>
      <c r="E123" s="15">
        <v>1.0</v>
      </c>
      <c r="F123" s="20" t="s">
        <v>206</v>
      </c>
    </row>
    <row r="124" ht="15.75" customHeight="1">
      <c r="A124" s="14" t="s">
        <v>205</v>
      </c>
      <c r="B124" s="16" t="s">
        <v>140</v>
      </c>
      <c r="C124" s="16" t="s">
        <v>97</v>
      </c>
      <c r="D124" s="17" t="s">
        <v>676</v>
      </c>
      <c r="E124" s="15">
        <v>1.0</v>
      </c>
      <c r="F124" s="20" t="s">
        <v>206</v>
      </c>
    </row>
    <row r="125" ht="15.75" customHeight="1">
      <c r="A125" s="14" t="s">
        <v>205</v>
      </c>
      <c r="B125" s="16" t="s">
        <v>140</v>
      </c>
      <c r="C125" s="16" t="s">
        <v>97</v>
      </c>
      <c r="D125" s="17" t="s">
        <v>682</v>
      </c>
      <c r="E125" s="15">
        <v>12.0</v>
      </c>
      <c r="F125" s="20" t="s">
        <v>206</v>
      </c>
    </row>
    <row r="126" ht="15.75" customHeight="1">
      <c r="A126" s="14" t="s">
        <v>205</v>
      </c>
      <c r="B126" s="16" t="s">
        <v>140</v>
      </c>
      <c r="C126" s="16" t="s">
        <v>97</v>
      </c>
      <c r="D126" s="17" t="s">
        <v>687</v>
      </c>
      <c r="E126" s="15">
        <v>4.0</v>
      </c>
      <c r="F126" s="20" t="s">
        <v>206</v>
      </c>
    </row>
    <row r="127" ht="15.75" customHeight="1">
      <c r="A127" s="14" t="s">
        <v>152</v>
      </c>
      <c r="B127" s="16" t="s">
        <v>106</v>
      </c>
      <c r="C127" s="16" t="s">
        <v>46</v>
      </c>
      <c r="D127" s="17" t="s">
        <v>454</v>
      </c>
      <c r="E127" s="15">
        <v>1667.0</v>
      </c>
      <c r="F127" s="20" t="s">
        <v>155</v>
      </c>
    </row>
    <row r="128" ht="15.75" customHeight="1">
      <c r="A128" s="14" t="s">
        <v>152</v>
      </c>
      <c r="B128" s="16" t="s">
        <v>106</v>
      </c>
      <c r="C128" s="16" t="s">
        <v>46</v>
      </c>
      <c r="D128" s="17" t="s">
        <v>455</v>
      </c>
      <c r="E128" s="15">
        <v>839.0</v>
      </c>
      <c r="F128" s="20" t="s">
        <v>155</v>
      </c>
    </row>
    <row r="129" ht="15.75" customHeight="1">
      <c r="A129" s="14" t="s">
        <v>152</v>
      </c>
      <c r="B129" s="16" t="s">
        <v>106</v>
      </c>
      <c r="C129" s="16" t="s">
        <v>46</v>
      </c>
      <c r="D129" s="17" t="s">
        <v>459</v>
      </c>
      <c r="E129" s="15">
        <v>361.0</v>
      </c>
      <c r="F129" s="20" t="s">
        <v>155</v>
      </c>
    </row>
    <row r="130" ht="15.75" customHeight="1">
      <c r="A130" s="14" t="s">
        <v>152</v>
      </c>
      <c r="B130" s="16" t="s">
        <v>106</v>
      </c>
      <c r="C130" s="16" t="s">
        <v>114</v>
      </c>
      <c r="D130" s="17" t="s">
        <v>704</v>
      </c>
      <c r="E130" s="15">
        <v>934.0</v>
      </c>
      <c r="F130" s="20" t="s">
        <v>155</v>
      </c>
    </row>
    <row r="131" ht="15.75" customHeight="1">
      <c r="A131" s="14" t="s">
        <v>152</v>
      </c>
      <c r="B131" s="16" t="s">
        <v>106</v>
      </c>
      <c r="C131" s="16" t="s">
        <v>114</v>
      </c>
      <c r="D131" s="17" t="s">
        <v>709</v>
      </c>
      <c r="E131" s="15">
        <v>484.0</v>
      </c>
      <c r="F131" s="20" t="s">
        <v>155</v>
      </c>
    </row>
    <row r="132" ht="15.75" customHeight="1">
      <c r="A132" s="14" t="s">
        <v>152</v>
      </c>
      <c r="B132" s="16" t="s">
        <v>106</v>
      </c>
      <c r="C132" s="16" t="s">
        <v>114</v>
      </c>
      <c r="D132" s="17" t="s">
        <v>714</v>
      </c>
      <c r="E132" s="15">
        <v>114.0</v>
      </c>
      <c r="F132" s="20" t="s">
        <v>155</v>
      </c>
    </row>
    <row r="133" ht="15.75" customHeight="1">
      <c r="A133" s="14" t="s">
        <v>152</v>
      </c>
      <c r="B133" s="16" t="s">
        <v>106</v>
      </c>
      <c r="C133" s="16" t="s">
        <v>114</v>
      </c>
      <c r="D133" s="17" t="s">
        <v>719</v>
      </c>
      <c r="E133" s="15">
        <v>42.0</v>
      </c>
      <c r="F133" s="20" t="s">
        <v>155</v>
      </c>
    </row>
    <row r="134" ht="15.75" customHeight="1">
      <c r="A134" s="14" t="s">
        <v>152</v>
      </c>
      <c r="B134" s="16" t="s">
        <v>106</v>
      </c>
      <c r="C134" s="16" t="s">
        <v>114</v>
      </c>
      <c r="D134" s="17" t="s">
        <v>722</v>
      </c>
      <c r="E134" s="15">
        <v>14.0</v>
      </c>
      <c r="F134" s="20" t="s">
        <v>155</v>
      </c>
    </row>
    <row r="135" ht="15.75" customHeight="1">
      <c r="A135" s="14" t="s">
        <v>152</v>
      </c>
      <c r="B135" s="16" t="s">
        <v>106</v>
      </c>
      <c r="C135" s="16" t="s">
        <v>97</v>
      </c>
      <c r="D135" s="17" t="s">
        <v>467</v>
      </c>
      <c r="E135" s="15">
        <v>2356.0</v>
      </c>
      <c r="F135" s="20" t="s">
        <v>155</v>
      </c>
    </row>
    <row r="136" ht="15.75" customHeight="1">
      <c r="A136" s="14" t="s">
        <v>152</v>
      </c>
      <c r="B136" s="16" t="s">
        <v>106</v>
      </c>
      <c r="C136" s="16" t="s">
        <v>97</v>
      </c>
      <c r="D136" s="17" t="s">
        <v>471</v>
      </c>
      <c r="E136" s="15">
        <v>774.0</v>
      </c>
      <c r="F136" s="20" t="s">
        <v>155</v>
      </c>
    </row>
    <row r="137" ht="15.75" customHeight="1">
      <c r="A137" s="14" t="s">
        <v>152</v>
      </c>
      <c r="B137" s="16" t="s">
        <v>106</v>
      </c>
      <c r="C137" s="16" t="s">
        <v>97</v>
      </c>
      <c r="D137" s="17" t="s">
        <v>476</v>
      </c>
      <c r="E137" s="15">
        <v>390.0</v>
      </c>
      <c r="F137" s="20" t="s">
        <v>155</v>
      </c>
    </row>
    <row r="138" ht="15.75" customHeight="1">
      <c r="A138" s="14" t="s">
        <v>152</v>
      </c>
      <c r="B138" s="16" t="s">
        <v>106</v>
      </c>
      <c r="C138" s="16" t="s">
        <v>97</v>
      </c>
      <c r="D138" s="17" t="s">
        <v>736</v>
      </c>
      <c r="E138" s="15">
        <v>26.0</v>
      </c>
      <c r="F138" s="20" t="s">
        <v>155</v>
      </c>
    </row>
    <row r="139" ht="15.75" customHeight="1">
      <c r="A139" s="14" t="s">
        <v>152</v>
      </c>
      <c r="B139" s="16" t="s">
        <v>106</v>
      </c>
      <c r="C139" s="16" t="s">
        <v>97</v>
      </c>
      <c r="D139" s="17" t="s">
        <v>742</v>
      </c>
      <c r="E139" s="15">
        <v>5.0</v>
      </c>
      <c r="F139" s="20" t="s">
        <v>155</v>
      </c>
    </row>
    <row r="140" ht="15.75" customHeight="1">
      <c r="A140" s="14" t="s">
        <v>152</v>
      </c>
      <c r="B140" s="16" t="s">
        <v>106</v>
      </c>
      <c r="C140" s="16" t="s">
        <v>97</v>
      </c>
      <c r="D140" s="17" t="s">
        <v>478</v>
      </c>
      <c r="E140" s="15">
        <v>3.0</v>
      </c>
      <c r="F140" s="20" t="s">
        <v>155</v>
      </c>
    </row>
    <row r="141" ht="15.75" customHeight="1">
      <c r="A141" s="14" t="s">
        <v>152</v>
      </c>
      <c r="B141" s="16" t="s">
        <v>106</v>
      </c>
      <c r="C141" s="16" t="s">
        <v>97</v>
      </c>
      <c r="D141" s="17" t="s">
        <v>750</v>
      </c>
      <c r="E141" s="15">
        <v>1.0</v>
      </c>
      <c r="F141" s="20" t="s">
        <v>155</v>
      </c>
    </row>
    <row r="142" ht="15.75" customHeight="1">
      <c r="A142" s="14" t="s">
        <v>152</v>
      </c>
      <c r="B142" s="16" t="s">
        <v>106</v>
      </c>
      <c r="C142" s="16" t="s">
        <v>97</v>
      </c>
      <c r="D142" s="17" t="s">
        <v>754</v>
      </c>
      <c r="E142" s="15">
        <v>1.0</v>
      </c>
      <c r="F142" s="20" t="s">
        <v>155</v>
      </c>
    </row>
    <row r="143" ht="15.75" customHeight="1">
      <c r="A143" s="14" t="s">
        <v>152</v>
      </c>
      <c r="B143" s="16" t="s">
        <v>106</v>
      </c>
      <c r="C143" s="16" t="s">
        <v>97</v>
      </c>
      <c r="D143" s="17" t="s">
        <v>757</v>
      </c>
      <c r="E143" s="15">
        <v>2.0</v>
      </c>
      <c r="F143" s="20" t="s">
        <v>155</v>
      </c>
    </row>
    <row r="144" ht="15.75" customHeight="1">
      <c r="A144" s="14" t="s">
        <v>152</v>
      </c>
      <c r="B144" s="16" t="s">
        <v>106</v>
      </c>
      <c r="C144" s="16" t="s">
        <v>97</v>
      </c>
      <c r="D144" s="17" t="s">
        <v>762</v>
      </c>
      <c r="E144" s="15">
        <v>1.0</v>
      </c>
      <c r="F144" s="20" t="s">
        <v>155</v>
      </c>
    </row>
    <row r="145" ht="15.75" customHeight="1">
      <c r="A145" s="14" t="s">
        <v>152</v>
      </c>
      <c r="B145" s="16" t="s">
        <v>106</v>
      </c>
      <c r="C145" s="16" t="s">
        <v>97</v>
      </c>
      <c r="D145" s="17" t="s">
        <v>766</v>
      </c>
      <c r="E145" s="15">
        <v>1.0</v>
      </c>
      <c r="F145" s="20" t="s">
        <v>155</v>
      </c>
    </row>
    <row r="146" ht="15.75" customHeight="1">
      <c r="A146" s="14" t="s">
        <v>152</v>
      </c>
      <c r="B146" s="16" t="s">
        <v>106</v>
      </c>
      <c r="C146" s="16" t="s">
        <v>97</v>
      </c>
      <c r="D146" s="17" t="s">
        <v>480</v>
      </c>
      <c r="E146" s="15">
        <v>1910.0</v>
      </c>
      <c r="F146" s="20" t="s">
        <v>155</v>
      </c>
    </row>
    <row r="147" ht="15.75" customHeight="1">
      <c r="A147" s="14" t="s">
        <v>152</v>
      </c>
      <c r="B147" s="16" t="s">
        <v>106</v>
      </c>
      <c r="C147" s="16" t="s">
        <v>97</v>
      </c>
      <c r="D147" s="17" t="s">
        <v>775</v>
      </c>
      <c r="E147" s="15">
        <v>1.0</v>
      </c>
      <c r="F147" s="20" t="s">
        <v>155</v>
      </c>
    </row>
    <row r="148" ht="15.75" customHeight="1">
      <c r="A148" s="14" t="s">
        <v>152</v>
      </c>
      <c r="B148" s="16" t="s">
        <v>106</v>
      </c>
      <c r="C148" s="16" t="s">
        <v>97</v>
      </c>
      <c r="D148" s="17" t="s">
        <v>483</v>
      </c>
      <c r="E148" s="15">
        <v>1505.0</v>
      </c>
      <c r="F148" s="20" t="s">
        <v>155</v>
      </c>
    </row>
    <row r="149" ht="15.75" customHeight="1">
      <c r="A149" s="14" t="s">
        <v>152</v>
      </c>
      <c r="B149" s="16" t="s">
        <v>106</v>
      </c>
      <c r="C149" s="16" t="s">
        <v>97</v>
      </c>
      <c r="D149" s="17" t="s">
        <v>487</v>
      </c>
      <c r="E149" s="15">
        <v>1160.0</v>
      </c>
      <c r="F149" s="20" t="s">
        <v>155</v>
      </c>
    </row>
    <row r="150" ht="15.75" customHeight="1">
      <c r="A150" s="14" t="s">
        <v>152</v>
      </c>
      <c r="B150" s="16" t="s">
        <v>106</v>
      </c>
      <c r="C150" s="16" t="s">
        <v>97</v>
      </c>
      <c r="D150" s="17" t="s">
        <v>491</v>
      </c>
      <c r="E150" s="15">
        <v>1065.0</v>
      </c>
      <c r="F150" s="20" t="s">
        <v>155</v>
      </c>
    </row>
    <row r="151" ht="15.75" customHeight="1">
      <c r="A151" s="14" t="s">
        <v>152</v>
      </c>
      <c r="B151" s="16" t="s">
        <v>106</v>
      </c>
      <c r="C151" s="16" t="s">
        <v>97</v>
      </c>
      <c r="D151" s="17" t="s">
        <v>495</v>
      </c>
      <c r="E151" s="15">
        <v>906.0</v>
      </c>
      <c r="F151" s="20" t="s">
        <v>155</v>
      </c>
    </row>
    <row r="152" ht="15.75" customHeight="1">
      <c r="A152" s="14" t="s">
        <v>152</v>
      </c>
      <c r="B152" s="16" t="s">
        <v>106</v>
      </c>
      <c r="C152" s="16" t="s">
        <v>97</v>
      </c>
      <c r="D152" s="17" t="s">
        <v>497</v>
      </c>
      <c r="E152" s="15">
        <v>839.0</v>
      </c>
      <c r="F152" s="20" t="s">
        <v>155</v>
      </c>
    </row>
    <row r="153" ht="15.75" customHeight="1">
      <c r="A153" s="14" t="s">
        <v>152</v>
      </c>
      <c r="B153" s="16" t="s">
        <v>106</v>
      </c>
      <c r="C153" s="16" t="s">
        <v>97</v>
      </c>
      <c r="D153" s="17" t="s">
        <v>500</v>
      </c>
      <c r="E153" s="15">
        <v>874.0</v>
      </c>
      <c r="F153" s="20" t="s">
        <v>155</v>
      </c>
    </row>
    <row r="154" ht="15.75" customHeight="1">
      <c r="A154" s="14" t="s">
        <v>152</v>
      </c>
      <c r="B154" s="16" t="s">
        <v>106</v>
      </c>
      <c r="C154" s="16" t="s">
        <v>97</v>
      </c>
      <c r="D154" s="17" t="s">
        <v>503</v>
      </c>
      <c r="E154" s="15">
        <v>791.0</v>
      </c>
      <c r="F154" s="20" t="s">
        <v>155</v>
      </c>
    </row>
    <row r="155" ht="15.75" customHeight="1">
      <c r="A155" s="14" t="s">
        <v>317</v>
      </c>
      <c r="B155" s="16" t="s">
        <v>29</v>
      </c>
      <c r="C155" s="16" t="s">
        <v>46</v>
      </c>
      <c r="D155" s="17" t="s">
        <v>141</v>
      </c>
      <c r="E155" s="15">
        <v>1.0</v>
      </c>
      <c r="F155" s="20" t="s">
        <v>318</v>
      </c>
    </row>
    <row r="156" ht="15.75" customHeight="1">
      <c r="A156" s="14" t="s">
        <v>317</v>
      </c>
      <c r="B156" s="16" t="s">
        <v>29</v>
      </c>
      <c r="C156" s="16" t="s">
        <v>79</v>
      </c>
      <c r="D156" s="17" t="s">
        <v>141</v>
      </c>
      <c r="E156" s="15">
        <v>1.0</v>
      </c>
      <c r="F156" s="20" t="s">
        <v>318</v>
      </c>
    </row>
    <row r="157" ht="15.75" customHeight="1">
      <c r="A157" s="14" t="s">
        <v>276</v>
      </c>
      <c r="B157" s="16" t="s">
        <v>277</v>
      </c>
      <c r="C157" s="16" t="s">
        <v>97</v>
      </c>
      <c r="D157" s="17" t="s">
        <v>571</v>
      </c>
      <c r="E157" s="15">
        <v>9.0</v>
      </c>
      <c r="F157" s="20" t="s">
        <v>278</v>
      </c>
    </row>
    <row r="158" ht="15.75" customHeight="1">
      <c r="A158" s="14" t="s">
        <v>276</v>
      </c>
      <c r="B158" s="16" t="s">
        <v>277</v>
      </c>
      <c r="C158" s="16" t="s">
        <v>97</v>
      </c>
      <c r="D158" s="17" t="s">
        <v>573</v>
      </c>
      <c r="E158" s="15">
        <v>13.0</v>
      </c>
      <c r="F158" s="20" t="s">
        <v>278</v>
      </c>
    </row>
    <row r="159" ht="15.75" customHeight="1">
      <c r="A159" s="14" t="s">
        <v>276</v>
      </c>
      <c r="B159" s="16" t="s">
        <v>277</v>
      </c>
      <c r="C159" s="16" t="s">
        <v>97</v>
      </c>
      <c r="D159" s="17" t="s">
        <v>574</v>
      </c>
      <c r="E159" s="15">
        <v>13.0</v>
      </c>
      <c r="F159" s="20" t="s">
        <v>278</v>
      </c>
    </row>
    <row r="160" ht="15.75" customHeight="1">
      <c r="A160" s="14" t="s">
        <v>276</v>
      </c>
      <c r="B160" s="16" t="s">
        <v>277</v>
      </c>
      <c r="C160" s="16" t="s">
        <v>97</v>
      </c>
      <c r="D160" s="17" t="s">
        <v>577</v>
      </c>
      <c r="E160" s="15">
        <v>6.0</v>
      </c>
      <c r="F160" s="20" t="s">
        <v>278</v>
      </c>
    </row>
    <row r="161" ht="15.75" customHeight="1">
      <c r="A161" s="14" t="s">
        <v>276</v>
      </c>
      <c r="B161" s="16" t="s">
        <v>277</v>
      </c>
      <c r="C161" s="16" t="s">
        <v>97</v>
      </c>
      <c r="D161" s="17" t="s">
        <v>821</v>
      </c>
      <c r="E161" s="15">
        <v>1.0</v>
      </c>
      <c r="F161" s="20" t="s">
        <v>278</v>
      </c>
    </row>
    <row r="162" ht="15.75" customHeight="1">
      <c r="A162" s="14" t="s">
        <v>276</v>
      </c>
      <c r="B162" s="16" t="s">
        <v>277</v>
      </c>
      <c r="C162" s="16" t="s">
        <v>97</v>
      </c>
      <c r="D162" s="17" t="s">
        <v>582</v>
      </c>
      <c r="E162" s="15">
        <v>3.0</v>
      </c>
      <c r="F162" s="20" t="s">
        <v>278</v>
      </c>
    </row>
    <row r="163" ht="15.75" customHeight="1">
      <c r="A163" s="14" t="s">
        <v>276</v>
      </c>
      <c r="B163" s="16" t="s">
        <v>277</v>
      </c>
      <c r="C163" s="16" t="s">
        <v>97</v>
      </c>
      <c r="D163" s="17" t="s">
        <v>585</v>
      </c>
      <c r="E163" s="15">
        <v>3.0</v>
      </c>
      <c r="F163" s="20" t="s">
        <v>278</v>
      </c>
    </row>
    <row r="164" ht="15.75" customHeight="1">
      <c r="A164" s="14" t="s">
        <v>276</v>
      </c>
      <c r="B164" s="16" t="s">
        <v>277</v>
      </c>
      <c r="C164" s="16" t="s">
        <v>97</v>
      </c>
      <c r="D164" s="17" t="s">
        <v>587</v>
      </c>
      <c r="E164" s="15">
        <v>7.0</v>
      </c>
      <c r="F164" s="20" t="s">
        <v>278</v>
      </c>
    </row>
    <row r="165" ht="15.75" customHeight="1">
      <c r="A165" s="14" t="s">
        <v>276</v>
      </c>
      <c r="B165" s="16" t="s">
        <v>277</v>
      </c>
      <c r="C165" s="16" t="s">
        <v>97</v>
      </c>
      <c r="D165" s="17" t="s">
        <v>589</v>
      </c>
      <c r="E165" s="15">
        <v>6.0</v>
      </c>
      <c r="F165" s="20" t="s">
        <v>278</v>
      </c>
    </row>
    <row r="166" ht="15.75" customHeight="1">
      <c r="A166" s="14" t="s">
        <v>276</v>
      </c>
      <c r="B166" s="16" t="s">
        <v>277</v>
      </c>
      <c r="C166" s="16" t="s">
        <v>97</v>
      </c>
      <c r="D166" s="17" t="s">
        <v>596</v>
      </c>
      <c r="E166" s="15">
        <v>1.0</v>
      </c>
      <c r="F166" s="20" t="s">
        <v>278</v>
      </c>
    </row>
    <row r="167" ht="15.75" customHeight="1">
      <c r="A167" s="14" t="s">
        <v>276</v>
      </c>
      <c r="B167" s="16" t="s">
        <v>277</v>
      </c>
      <c r="C167" s="16" t="s">
        <v>97</v>
      </c>
      <c r="D167" s="17" t="s">
        <v>612</v>
      </c>
      <c r="E167" s="15">
        <v>1.0</v>
      </c>
      <c r="F167" s="20" t="s">
        <v>278</v>
      </c>
    </row>
    <row r="168" ht="15.75" customHeight="1">
      <c r="A168" s="14" t="s">
        <v>276</v>
      </c>
      <c r="B168" s="16" t="s">
        <v>277</v>
      </c>
      <c r="C168" s="16" t="s">
        <v>97</v>
      </c>
      <c r="D168" s="17" t="s">
        <v>619</v>
      </c>
      <c r="E168" s="15">
        <v>3.0</v>
      </c>
      <c r="F168" s="20" t="s">
        <v>278</v>
      </c>
    </row>
    <row r="169" ht="15.75" customHeight="1">
      <c r="A169" s="14" t="s">
        <v>286</v>
      </c>
      <c r="B169" s="16" t="s">
        <v>277</v>
      </c>
      <c r="C169" s="16" t="s">
        <v>97</v>
      </c>
      <c r="D169" s="17" t="s">
        <v>845</v>
      </c>
      <c r="E169" s="15">
        <v>6.0</v>
      </c>
      <c r="F169" s="20" t="s">
        <v>287</v>
      </c>
    </row>
    <row r="170" ht="15.75" customHeight="1">
      <c r="A170" s="14" t="s">
        <v>286</v>
      </c>
      <c r="B170" s="16" t="s">
        <v>277</v>
      </c>
      <c r="C170" s="16" t="s">
        <v>97</v>
      </c>
      <c r="D170" s="17" t="s">
        <v>849</v>
      </c>
      <c r="E170" s="15">
        <v>1.0</v>
      </c>
      <c r="F170" s="20" t="s">
        <v>287</v>
      </c>
    </row>
    <row r="171" ht="15.75" customHeight="1">
      <c r="A171" s="14" t="s">
        <v>286</v>
      </c>
      <c r="B171" s="16" t="s">
        <v>277</v>
      </c>
      <c r="C171" s="16" t="s">
        <v>97</v>
      </c>
      <c r="D171" s="17" t="s">
        <v>852</v>
      </c>
      <c r="E171" s="15">
        <v>2.0</v>
      </c>
      <c r="F171" s="20" t="s">
        <v>287</v>
      </c>
    </row>
    <row r="172" ht="15.75" customHeight="1">
      <c r="A172" s="14" t="s">
        <v>286</v>
      </c>
      <c r="B172" s="16" t="s">
        <v>277</v>
      </c>
      <c r="C172" s="16" t="s">
        <v>97</v>
      </c>
      <c r="D172" s="17" t="s">
        <v>855</v>
      </c>
      <c r="E172" s="15">
        <v>6.0</v>
      </c>
      <c r="F172" s="20" t="s">
        <v>287</v>
      </c>
    </row>
    <row r="173" ht="15.75" customHeight="1">
      <c r="A173" s="14" t="s">
        <v>286</v>
      </c>
      <c r="B173" s="16" t="s">
        <v>277</v>
      </c>
      <c r="C173" s="16" t="s">
        <v>97</v>
      </c>
      <c r="D173" s="17" t="s">
        <v>860</v>
      </c>
      <c r="E173" s="15">
        <v>5.0</v>
      </c>
      <c r="F173" s="20" t="s">
        <v>287</v>
      </c>
    </row>
    <row r="174" ht="15.75" customHeight="1">
      <c r="A174" s="14" t="s">
        <v>286</v>
      </c>
      <c r="B174" s="16" t="s">
        <v>277</v>
      </c>
      <c r="C174" s="16" t="s">
        <v>97</v>
      </c>
      <c r="D174" s="17" t="s">
        <v>870</v>
      </c>
      <c r="E174" s="15">
        <v>1.0</v>
      </c>
      <c r="F174" s="20" t="s">
        <v>287</v>
      </c>
    </row>
    <row r="175" ht="15.75" customHeight="1">
      <c r="A175" s="14" t="s">
        <v>286</v>
      </c>
      <c r="B175" s="16" t="s">
        <v>277</v>
      </c>
      <c r="C175" s="16" t="s">
        <v>97</v>
      </c>
      <c r="D175" s="17" t="s">
        <v>874</v>
      </c>
      <c r="E175" s="15">
        <v>1.0</v>
      </c>
      <c r="F175" s="20" t="s">
        <v>287</v>
      </c>
    </row>
    <row r="176" ht="15.75" customHeight="1">
      <c r="A176" s="14" t="s">
        <v>286</v>
      </c>
      <c r="B176" s="16" t="s">
        <v>277</v>
      </c>
      <c r="C176" s="16" t="s">
        <v>97</v>
      </c>
      <c r="D176" s="17" t="s">
        <v>876</v>
      </c>
      <c r="E176" s="15">
        <v>1.0</v>
      </c>
      <c r="F176" s="20" t="s">
        <v>287</v>
      </c>
    </row>
    <row r="177" ht="15.75" customHeight="1">
      <c r="A177" s="14" t="s">
        <v>286</v>
      </c>
      <c r="B177" s="16" t="s">
        <v>277</v>
      </c>
      <c r="C177" s="16" t="s">
        <v>97</v>
      </c>
      <c r="D177" s="17" t="s">
        <v>881</v>
      </c>
      <c r="E177" s="15">
        <v>1.0</v>
      </c>
      <c r="F177" s="20" t="s">
        <v>287</v>
      </c>
    </row>
    <row r="178" ht="15.75" customHeight="1">
      <c r="A178" s="14" t="s">
        <v>286</v>
      </c>
      <c r="B178" s="16" t="s">
        <v>277</v>
      </c>
      <c r="C178" s="16" t="s">
        <v>97</v>
      </c>
      <c r="D178" s="17" t="s">
        <v>885</v>
      </c>
      <c r="E178" s="15">
        <v>4.0</v>
      </c>
      <c r="F178" s="20" t="s">
        <v>287</v>
      </c>
    </row>
    <row r="179" ht="15.75" customHeight="1">
      <c r="A179" s="14" t="s">
        <v>286</v>
      </c>
      <c r="B179" s="16" t="s">
        <v>277</v>
      </c>
      <c r="C179" s="16" t="s">
        <v>97</v>
      </c>
      <c r="D179" s="17" t="s">
        <v>889</v>
      </c>
      <c r="E179" s="15">
        <v>1.0</v>
      </c>
      <c r="F179" s="20" t="s">
        <v>287</v>
      </c>
    </row>
    <row r="180" ht="15.75" customHeight="1">
      <c r="A180" s="14" t="s">
        <v>286</v>
      </c>
      <c r="B180" s="16" t="s">
        <v>277</v>
      </c>
      <c r="C180" s="16" t="s">
        <v>97</v>
      </c>
      <c r="D180" s="17" t="s">
        <v>892</v>
      </c>
      <c r="E180" s="15">
        <v>1.0</v>
      </c>
      <c r="F180" s="20" t="s">
        <v>287</v>
      </c>
    </row>
    <row r="181" ht="15.75" customHeight="1">
      <c r="A181" s="14" t="s">
        <v>286</v>
      </c>
      <c r="B181" s="16" t="s">
        <v>277</v>
      </c>
      <c r="C181" s="16" t="s">
        <v>97</v>
      </c>
      <c r="D181" s="17" t="s">
        <v>896</v>
      </c>
      <c r="E181" s="15">
        <v>1.0</v>
      </c>
      <c r="F181" s="20" t="s">
        <v>287</v>
      </c>
    </row>
    <row r="182" ht="15.75" customHeight="1">
      <c r="A182" s="14" t="s">
        <v>286</v>
      </c>
      <c r="B182" s="16" t="s">
        <v>277</v>
      </c>
      <c r="C182" s="16" t="s">
        <v>97</v>
      </c>
      <c r="D182" s="17" t="s">
        <v>899</v>
      </c>
      <c r="E182" s="15">
        <v>3.0</v>
      </c>
      <c r="F182" s="20" t="s">
        <v>287</v>
      </c>
    </row>
    <row r="183" ht="15.75" customHeight="1">
      <c r="A183" s="14" t="s">
        <v>286</v>
      </c>
      <c r="B183" s="16" t="s">
        <v>277</v>
      </c>
      <c r="C183" s="16" t="s">
        <v>97</v>
      </c>
      <c r="D183" s="17" t="s">
        <v>904</v>
      </c>
      <c r="E183" s="15">
        <v>1.0</v>
      </c>
      <c r="F183" s="20" t="s">
        <v>287</v>
      </c>
    </row>
    <row r="184" ht="15.75" customHeight="1">
      <c r="A184" s="14" t="s">
        <v>286</v>
      </c>
      <c r="B184" s="16" t="s">
        <v>277</v>
      </c>
      <c r="C184" s="16" t="s">
        <v>97</v>
      </c>
      <c r="D184" s="17" t="s">
        <v>908</v>
      </c>
      <c r="E184" s="15">
        <v>3.0</v>
      </c>
      <c r="F184" s="20" t="s">
        <v>287</v>
      </c>
    </row>
    <row r="185" ht="15.75" customHeight="1">
      <c r="A185" s="14" t="s">
        <v>286</v>
      </c>
      <c r="B185" s="16" t="s">
        <v>277</v>
      </c>
      <c r="C185" s="16" t="s">
        <v>97</v>
      </c>
      <c r="D185" s="17" t="s">
        <v>913</v>
      </c>
      <c r="E185" s="15">
        <v>1.0</v>
      </c>
      <c r="F185" s="20" t="s">
        <v>287</v>
      </c>
    </row>
    <row r="186" ht="15.75" customHeight="1">
      <c r="A186" s="14" t="s">
        <v>286</v>
      </c>
      <c r="B186" s="16" t="s">
        <v>277</v>
      </c>
      <c r="C186" s="16" t="s">
        <v>97</v>
      </c>
      <c r="D186" s="17" t="s">
        <v>917</v>
      </c>
      <c r="E186" s="15">
        <v>5.0</v>
      </c>
      <c r="F186" s="20" t="s">
        <v>287</v>
      </c>
    </row>
    <row r="187" ht="15.75" customHeight="1">
      <c r="A187" s="14" t="s">
        <v>286</v>
      </c>
      <c r="B187" s="16" t="s">
        <v>277</v>
      </c>
      <c r="C187" s="16" t="s">
        <v>97</v>
      </c>
      <c r="D187" s="17" t="s">
        <v>920</v>
      </c>
      <c r="E187" s="15">
        <v>1.0</v>
      </c>
      <c r="F187" s="20" t="s">
        <v>287</v>
      </c>
    </row>
    <row r="188" ht="15.75" customHeight="1">
      <c r="A188" s="14" t="s">
        <v>286</v>
      </c>
      <c r="B188" s="16" t="s">
        <v>277</v>
      </c>
      <c r="C188" s="16" t="s">
        <v>97</v>
      </c>
      <c r="D188" s="17" t="s">
        <v>923</v>
      </c>
      <c r="E188" s="15">
        <v>1.0</v>
      </c>
      <c r="F188" s="20" t="s">
        <v>287</v>
      </c>
    </row>
    <row r="189" ht="15.75" customHeight="1">
      <c r="A189" s="14" t="s">
        <v>286</v>
      </c>
      <c r="B189" s="16" t="s">
        <v>277</v>
      </c>
      <c r="C189" s="16" t="s">
        <v>97</v>
      </c>
      <c r="D189" s="17" t="s">
        <v>927</v>
      </c>
      <c r="E189" s="15">
        <v>2.0</v>
      </c>
      <c r="F189" s="20" t="s">
        <v>287</v>
      </c>
    </row>
    <row r="190" ht="15.75" customHeight="1">
      <c r="A190" s="14" t="s">
        <v>32</v>
      </c>
      <c r="B190" s="16" t="s">
        <v>51</v>
      </c>
      <c r="C190" s="16" t="s">
        <v>46</v>
      </c>
      <c r="D190" s="17" t="s">
        <v>308</v>
      </c>
      <c r="E190" s="15">
        <v>8497.0</v>
      </c>
      <c r="F190" s="20" t="s">
        <v>58</v>
      </c>
    </row>
    <row r="191" ht="15.75" customHeight="1">
      <c r="A191" s="14" t="s">
        <v>32</v>
      </c>
      <c r="B191" s="16" t="s">
        <v>51</v>
      </c>
      <c r="C191" s="16" t="s">
        <v>79</v>
      </c>
      <c r="D191" s="17" t="s">
        <v>308</v>
      </c>
      <c r="E191" s="15">
        <v>10565.0</v>
      </c>
      <c r="F191" s="20" t="s">
        <v>58</v>
      </c>
    </row>
    <row r="192" ht="15.75" customHeight="1">
      <c r="A192" s="14" t="s">
        <v>215</v>
      </c>
      <c r="B192" s="16" t="s">
        <v>217</v>
      </c>
      <c r="C192" s="16" t="s">
        <v>46</v>
      </c>
      <c r="D192" s="17" t="s">
        <v>348</v>
      </c>
      <c r="E192" s="15">
        <v>17.0</v>
      </c>
      <c r="F192" s="20" t="s">
        <v>218</v>
      </c>
    </row>
    <row r="193" ht="15.75" customHeight="1">
      <c r="A193" s="14" t="s">
        <v>215</v>
      </c>
      <c r="B193" s="16" t="s">
        <v>217</v>
      </c>
      <c r="C193" s="16" t="s">
        <v>46</v>
      </c>
      <c r="D193" s="17" t="s">
        <v>353</v>
      </c>
      <c r="E193" s="15">
        <v>15.0</v>
      </c>
      <c r="F193" s="20" t="s">
        <v>218</v>
      </c>
    </row>
    <row r="194" ht="15.75" customHeight="1">
      <c r="A194" s="14" t="s">
        <v>215</v>
      </c>
      <c r="B194" s="16" t="s">
        <v>217</v>
      </c>
      <c r="C194" s="16" t="s">
        <v>46</v>
      </c>
      <c r="D194" s="17" t="s">
        <v>359</v>
      </c>
      <c r="E194" s="15">
        <v>8.0</v>
      </c>
      <c r="F194" s="20" t="s">
        <v>218</v>
      </c>
    </row>
    <row r="195" ht="15.75" customHeight="1">
      <c r="A195" s="14" t="s">
        <v>215</v>
      </c>
      <c r="B195" s="16" t="s">
        <v>217</v>
      </c>
      <c r="C195" s="16" t="s">
        <v>114</v>
      </c>
      <c r="D195" s="17" t="s">
        <v>362</v>
      </c>
      <c r="E195" s="15">
        <v>136.0</v>
      </c>
      <c r="F195" s="20" t="s">
        <v>218</v>
      </c>
    </row>
    <row r="196" ht="15.75" customHeight="1">
      <c r="A196" s="14" t="s">
        <v>215</v>
      </c>
      <c r="B196" s="16" t="s">
        <v>217</v>
      </c>
      <c r="C196" s="16" t="s">
        <v>114</v>
      </c>
      <c r="D196" s="17" t="s">
        <v>367</v>
      </c>
      <c r="E196" s="15">
        <v>18.0</v>
      </c>
      <c r="F196" s="20" t="s">
        <v>218</v>
      </c>
    </row>
    <row r="197" ht="15.75" customHeight="1">
      <c r="A197" s="14" t="s">
        <v>215</v>
      </c>
      <c r="B197" s="16" t="s">
        <v>217</v>
      </c>
      <c r="C197" s="16" t="s">
        <v>97</v>
      </c>
      <c r="D197" s="17" t="s">
        <v>909</v>
      </c>
      <c r="E197" s="15">
        <v>1.0</v>
      </c>
      <c r="F197" s="20" t="s">
        <v>218</v>
      </c>
    </row>
    <row r="198" ht="15.75" customHeight="1">
      <c r="A198" s="14" t="s">
        <v>215</v>
      </c>
      <c r="B198" s="16" t="s">
        <v>217</v>
      </c>
      <c r="C198" s="16" t="s">
        <v>97</v>
      </c>
      <c r="D198" s="17" t="s">
        <v>858</v>
      </c>
      <c r="E198" s="15">
        <v>281.0</v>
      </c>
      <c r="F198" s="20" t="s">
        <v>218</v>
      </c>
    </row>
    <row r="199" ht="15.75" customHeight="1">
      <c r="A199" s="14" t="s">
        <v>215</v>
      </c>
      <c r="B199" s="16" t="s">
        <v>217</v>
      </c>
      <c r="C199" s="16" t="s">
        <v>97</v>
      </c>
      <c r="D199" s="17" t="s">
        <v>595</v>
      </c>
      <c r="E199" s="15">
        <v>5.0</v>
      </c>
      <c r="F199" s="20" t="s">
        <v>218</v>
      </c>
    </row>
    <row r="200" ht="15.75" customHeight="1">
      <c r="A200" s="14" t="s">
        <v>215</v>
      </c>
      <c r="B200" s="16" t="s">
        <v>217</v>
      </c>
      <c r="C200" s="16" t="s">
        <v>97</v>
      </c>
      <c r="D200" s="17" t="s">
        <v>924</v>
      </c>
      <c r="E200" s="15">
        <v>435.0</v>
      </c>
      <c r="F200" s="20" t="s">
        <v>218</v>
      </c>
    </row>
    <row r="201" ht="15.75" customHeight="1">
      <c r="A201" s="14" t="s">
        <v>215</v>
      </c>
      <c r="B201" s="16" t="s">
        <v>217</v>
      </c>
      <c r="C201" s="16" t="s">
        <v>97</v>
      </c>
      <c r="D201" s="17" t="s">
        <v>370</v>
      </c>
      <c r="E201" s="15">
        <v>2.0</v>
      </c>
      <c r="F201" s="20" t="s">
        <v>218</v>
      </c>
    </row>
    <row r="202" ht="15.75" customHeight="1">
      <c r="A202" s="14" t="s">
        <v>215</v>
      </c>
      <c r="B202" s="16" t="s">
        <v>217</v>
      </c>
      <c r="C202" s="16" t="s">
        <v>97</v>
      </c>
      <c r="D202" s="17" t="s">
        <v>1015</v>
      </c>
      <c r="E202" s="15">
        <v>1.0</v>
      </c>
      <c r="F202" s="20" t="s">
        <v>218</v>
      </c>
    </row>
    <row r="203" ht="15.75" customHeight="1">
      <c r="A203" s="14" t="s">
        <v>215</v>
      </c>
      <c r="B203" s="16" t="s">
        <v>217</v>
      </c>
      <c r="C203" s="16" t="s">
        <v>97</v>
      </c>
      <c r="D203" s="17" t="s">
        <v>1017</v>
      </c>
      <c r="E203" s="15">
        <v>1.0</v>
      </c>
      <c r="F203" s="20" t="s">
        <v>218</v>
      </c>
    </row>
    <row r="204" ht="15.75" customHeight="1">
      <c r="A204" s="14" t="s">
        <v>215</v>
      </c>
      <c r="B204" s="16" t="s">
        <v>217</v>
      </c>
      <c r="C204" s="16" t="s">
        <v>97</v>
      </c>
      <c r="D204" s="17" t="s">
        <v>1019</v>
      </c>
      <c r="E204" s="15">
        <v>1.0</v>
      </c>
      <c r="F204" s="20" t="s">
        <v>218</v>
      </c>
    </row>
    <row r="205" ht="15.75" customHeight="1">
      <c r="A205" s="14" t="s">
        <v>215</v>
      </c>
      <c r="B205" s="16" t="s">
        <v>217</v>
      </c>
      <c r="C205" s="16" t="s">
        <v>97</v>
      </c>
      <c r="D205" s="17" t="s">
        <v>1021</v>
      </c>
      <c r="E205" s="15">
        <v>2.0</v>
      </c>
      <c r="F205" s="20" t="s">
        <v>218</v>
      </c>
    </row>
    <row r="206" ht="15.75" customHeight="1">
      <c r="A206" s="14" t="s">
        <v>215</v>
      </c>
      <c r="B206" s="16" t="s">
        <v>217</v>
      </c>
      <c r="C206" s="16" t="s">
        <v>97</v>
      </c>
      <c r="D206" s="17" t="s">
        <v>375</v>
      </c>
      <c r="E206" s="15">
        <v>3.0</v>
      </c>
      <c r="F206" s="20" t="s">
        <v>218</v>
      </c>
    </row>
    <row r="207" ht="15.75" customHeight="1">
      <c r="A207" s="14" t="s">
        <v>215</v>
      </c>
      <c r="B207" s="16" t="s">
        <v>217</v>
      </c>
      <c r="C207" s="16" t="s">
        <v>97</v>
      </c>
      <c r="D207" s="17" t="s">
        <v>1023</v>
      </c>
      <c r="E207" s="15">
        <v>1.0</v>
      </c>
      <c r="F207" s="20" t="s">
        <v>218</v>
      </c>
    </row>
    <row r="208" ht="15.75" customHeight="1">
      <c r="A208" s="14" t="s">
        <v>215</v>
      </c>
      <c r="B208" s="16" t="s">
        <v>217</v>
      </c>
      <c r="C208" s="16" t="s">
        <v>97</v>
      </c>
      <c r="D208" s="17" t="s">
        <v>1025</v>
      </c>
      <c r="E208" s="15">
        <v>2.0</v>
      </c>
      <c r="F208" s="20" t="s">
        <v>218</v>
      </c>
    </row>
    <row r="209" ht="15.75" customHeight="1">
      <c r="A209" s="14" t="s">
        <v>215</v>
      </c>
      <c r="B209" s="16" t="s">
        <v>217</v>
      </c>
      <c r="C209" s="16" t="s">
        <v>97</v>
      </c>
      <c r="D209" s="17" t="s">
        <v>1028</v>
      </c>
      <c r="E209" s="15">
        <v>1.0</v>
      </c>
      <c r="F209" s="20" t="s">
        <v>218</v>
      </c>
    </row>
    <row r="210" ht="15.75" customHeight="1">
      <c r="A210" s="14" t="s">
        <v>215</v>
      </c>
      <c r="B210" s="16" t="s">
        <v>217</v>
      </c>
      <c r="C210" s="16" t="s">
        <v>97</v>
      </c>
      <c r="D210" s="17" t="s">
        <v>1031</v>
      </c>
      <c r="E210" s="15">
        <v>1.0</v>
      </c>
      <c r="F210" s="20" t="s">
        <v>218</v>
      </c>
    </row>
    <row r="211" ht="15.75" customHeight="1">
      <c r="A211" s="14" t="s">
        <v>215</v>
      </c>
      <c r="B211" s="16" t="s">
        <v>217</v>
      </c>
      <c r="C211" s="16" t="s">
        <v>97</v>
      </c>
      <c r="D211" s="17" t="s">
        <v>963</v>
      </c>
      <c r="E211" s="15">
        <v>37.0</v>
      </c>
      <c r="F211" s="20" t="s">
        <v>218</v>
      </c>
    </row>
    <row r="212" ht="15.75" customHeight="1">
      <c r="A212" s="14" t="s">
        <v>215</v>
      </c>
      <c r="B212" s="16" t="s">
        <v>217</v>
      </c>
      <c r="C212" s="16" t="s">
        <v>97</v>
      </c>
      <c r="D212" s="17" t="s">
        <v>379</v>
      </c>
      <c r="E212" s="15">
        <v>118.0</v>
      </c>
      <c r="F212" s="20" t="s">
        <v>218</v>
      </c>
    </row>
    <row r="213" ht="15.75" customHeight="1">
      <c r="A213" s="14" t="s">
        <v>215</v>
      </c>
      <c r="B213" s="16" t="s">
        <v>217</v>
      </c>
      <c r="C213" s="16" t="s">
        <v>97</v>
      </c>
      <c r="D213" s="17" t="s">
        <v>1032</v>
      </c>
      <c r="E213" s="15">
        <v>69.0</v>
      </c>
      <c r="F213" s="20" t="s">
        <v>218</v>
      </c>
    </row>
    <row r="214" ht="15.75" customHeight="1">
      <c r="A214" s="14" t="s">
        <v>215</v>
      </c>
      <c r="B214" s="16" t="s">
        <v>217</v>
      </c>
      <c r="C214" s="16" t="s">
        <v>97</v>
      </c>
      <c r="D214" s="17" t="s">
        <v>1035</v>
      </c>
      <c r="E214" s="15">
        <v>49.0</v>
      </c>
      <c r="F214" s="20" t="s">
        <v>218</v>
      </c>
    </row>
    <row r="215" ht="15.75" customHeight="1">
      <c r="A215" s="14" t="s">
        <v>215</v>
      </c>
      <c r="B215" s="16" t="s">
        <v>217</v>
      </c>
      <c r="C215" s="16" t="s">
        <v>97</v>
      </c>
      <c r="D215" s="17" t="s">
        <v>1029</v>
      </c>
      <c r="E215" s="15">
        <v>109.0</v>
      </c>
      <c r="F215" s="20" t="s">
        <v>218</v>
      </c>
    </row>
    <row r="216" ht="15.75" customHeight="1">
      <c r="A216" s="14" t="s">
        <v>215</v>
      </c>
      <c r="B216" s="16" t="s">
        <v>217</v>
      </c>
      <c r="C216" s="16" t="s">
        <v>97</v>
      </c>
      <c r="D216" s="17" t="s">
        <v>1040</v>
      </c>
      <c r="E216" s="15">
        <v>20.0</v>
      </c>
      <c r="F216" s="20" t="s">
        <v>218</v>
      </c>
    </row>
    <row r="217" ht="15.75" customHeight="1">
      <c r="A217" s="14" t="s">
        <v>215</v>
      </c>
      <c r="B217" s="16" t="s">
        <v>217</v>
      </c>
      <c r="C217" s="16" t="s">
        <v>97</v>
      </c>
      <c r="D217" s="17" t="s">
        <v>1043</v>
      </c>
      <c r="E217" s="15">
        <v>46.0</v>
      </c>
      <c r="F217" s="20" t="s">
        <v>218</v>
      </c>
    </row>
    <row r="218" ht="15.75" customHeight="1">
      <c r="A218" s="14" t="s">
        <v>215</v>
      </c>
      <c r="B218" s="16" t="s">
        <v>217</v>
      </c>
      <c r="C218" s="16" t="s">
        <v>97</v>
      </c>
      <c r="D218" s="17" t="s">
        <v>1041</v>
      </c>
      <c r="E218" s="15">
        <v>35.0</v>
      </c>
      <c r="F218" s="20" t="s">
        <v>218</v>
      </c>
    </row>
    <row r="219" ht="15.75" customHeight="1">
      <c r="A219" s="14" t="s">
        <v>215</v>
      </c>
      <c r="B219" s="16" t="s">
        <v>217</v>
      </c>
      <c r="C219" s="16" t="s">
        <v>97</v>
      </c>
      <c r="D219" s="17" t="s">
        <v>1045</v>
      </c>
      <c r="E219" s="15">
        <v>16.0</v>
      </c>
      <c r="F219" s="20" t="s">
        <v>218</v>
      </c>
    </row>
    <row r="220" ht="15.75" customHeight="1">
      <c r="A220" s="14" t="s">
        <v>215</v>
      </c>
      <c r="B220" s="16" t="s">
        <v>217</v>
      </c>
      <c r="C220" s="16" t="s">
        <v>97</v>
      </c>
      <c r="D220" s="17" t="s">
        <v>1046</v>
      </c>
      <c r="E220" s="15">
        <v>26.0</v>
      </c>
      <c r="F220" s="20" t="s">
        <v>218</v>
      </c>
    </row>
    <row r="221" ht="15.75" customHeight="1">
      <c r="A221" s="14" t="s">
        <v>215</v>
      </c>
      <c r="B221" s="16" t="s">
        <v>217</v>
      </c>
      <c r="C221" s="16" t="s">
        <v>97</v>
      </c>
      <c r="D221" s="17" t="s">
        <v>1048</v>
      </c>
      <c r="E221" s="15">
        <v>17.0</v>
      </c>
      <c r="F221" s="20" t="s">
        <v>218</v>
      </c>
    </row>
    <row r="222" ht="15.75" customHeight="1">
      <c r="A222" s="14" t="s">
        <v>215</v>
      </c>
      <c r="B222" s="16" t="s">
        <v>217</v>
      </c>
      <c r="C222" s="16" t="s">
        <v>97</v>
      </c>
      <c r="D222" s="17" t="s">
        <v>1052</v>
      </c>
      <c r="E222" s="15">
        <v>11.0</v>
      </c>
      <c r="F222" s="20" t="s">
        <v>218</v>
      </c>
    </row>
    <row r="223" ht="15.75" customHeight="1">
      <c r="A223" s="14" t="s">
        <v>215</v>
      </c>
      <c r="B223" s="16" t="s">
        <v>217</v>
      </c>
      <c r="C223" s="16" t="s">
        <v>97</v>
      </c>
      <c r="D223" s="17" t="s">
        <v>1054</v>
      </c>
      <c r="E223" s="15">
        <v>30.0</v>
      </c>
      <c r="F223" s="20" t="s">
        <v>218</v>
      </c>
    </row>
    <row r="224" ht="15.75" customHeight="1">
      <c r="A224" s="14" t="s">
        <v>215</v>
      </c>
      <c r="B224" s="16" t="s">
        <v>217</v>
      </c>
      <c r="C224" s="16" t="s">
        <v>97</v>
      </c>
      <c r="D224" s="17" t="s">
        <v>1059</v>
      </c>
      <c r="E224" s="15">
        <v>13.0</v>
      </c>
      <c r="F224" s="20" t="s">
        <v>218</v>
      </c>
    </row>
    <row r="225" ht="15.75" customHeight="1">
      <c r="A225" s="14" t="s">
        <v>215</v>
      </c>
      <c r="B225" s="16" t="s">
        <v>217</v>
      </c>
      <c r="C225" s="16" t="s">
        <v>97</v>
      </c>
      <c r="D225" s="17" t="s">
        <v>1065</v>
      </c>
      <c r="E225" s="15">
        <v>4.0</v>
      </c>
      <c r="F225" s="20" t="s">
        <v>218</v>
      </c>
    </row>
    <row r="226" ht="15.75" customHeight="1">
      <c r="A226" s="14" t="s">
        <v>215</v>
      </c>
      <c r="B226" s="16" t="s">
        <v>217</v>
      </c>
      <c r="C226" s="16" t="s">
        <v>97</v>
      </c>
      <c r="D226" s="17" t="s">
        <v>1071</v>
      </c>
      <c r="E226" s="15">
        <v>14.0</v>
      </c>
      <c r="F226" s="20" t="s">
        <v>218</v>
      </c>
    </row>
    <row r="227" ht="15.75" customHeight="1">
      <c r="A227" s="14" t="s">
        <v>215</v>
      </c>
      <c r="B227" s="16" t="s">
        <v>217</v>
      </c>
      <c r="C227" s="16" t="s">
        <v>97</v>
      </c>
      <c r="D227" s="17" t="s">
        <v>1078</v>
      </c>
      <c r="E227" s="15">
        <v>10.0</v>
      </c>
      <c r="F227" s="20" t="s">
        <v>218</v>
      </c>
    </row>
    <row r="228" ht="15.75" customHeight="1">
      <c r="A228" s="14" t="s">
        <v>215</v>
      </c>
      <c r="B228" s="16" t="s">
        <v>217</v>
      </c>
      <c r="C228" s="16" t="s">
        <v>97</v>
      </c>
      <c r="D228" s="17" t="s">
        <v>1083</v>
      </c>
      <c r="E228" s="15">
        <v>1.0</v>
      </c>
      <c r="F228" s="20" t="s">
        <v>218</v>
      </c>
    </row>
    <row r="229" ht="15.75" customHeight="1">
      <c r="A229" s="14" t="s">
        <v>215</v>
      </c>
      <c r="B229" s="16" t="s">
        <v>217</v>
      </c>
      <c r="C229" s="16" t="s">
        <v>97</v>
      </c>
      <c r="D229" s="17" t="s">
        <v>1088</v>
      </c>
      <c r="E229" s="15">
        <v>1.0</v>
      </c>
      <c r="F229" s="20" t="s">
        <v>218</v>
      </c>
    </row>
    <row r="230" ht="15.75" customHeight="1">
      <c r="A230" s="14" t="s">
        <v>215</v>
      </c>
      <c r="B230" s="16" t="s">
        <v>217</v>
      </c>
      <c r="C230" s="16" t="s">
        <v>97</v>
      </c>
      <c r="D230" s="17" t="s">
        <v>1094</v>
      </c>
      <c r="E230" s="15">
        <v>1.0</v>
      </c>
      <c r="F230" s="20" t="s">
        <v>218</v>
      </c>
    </row>
    <row r="231" ht="15.75" customHeight="1">
      <c r="A231" s="14" t="s">
        <v>215</v>
      </c>
      <c r="B231" s="16" t="s">
        <v>217</v>
      </c>
      <c r="C231" s="16" t="s">
        <v>97</v>
      </c>
      <c r="D231" s="17" t="s">
        <v>852</v>
      </c>
      <c r="E231" s="15">
        <v>1.0</v>
      </c>
      <c r="F231" s="20" t="s">
        <v>218</v>
      </c>
    </row>
    <row r="232" ht="15.75" customHeight="1">
      <c r="A232" s="14" t="s">
        <v>215</v>
      </c>
      <c r="B232" s="16" t="s">
        <v>217</v>
      </c>
      <c r="C232" s="16" t="s">
        <v>97</v>
      </c>
      <c r="D232" s="17" t="s">
        <v>954</v>
      </c>
      <c r="E232" s="15">
        <v>366.0</v>
      </c>
      <c r="F232" s="20" t="s">
        <v>218</v>
      </c>
    </row>
    <row r="233" ht="15.75" customHeight="1">
      <c r="A233" s="14" t="s">
        <v>215</v>
      </c>
      <c r="B233" s="16" t="s">
        <v>217</v>
      </c>
      <c r="C233" s="16" t="s">
        <v>97</v>
      </c>
      <c r="D233" s="17" t="s">
        <v>1008</v>
      </c>
      <c r="E233" s="15">
        <v>234.0</v>
      </c>
      <c r="F233" s="20" t="s">
        <v>218</v>
      </c>
    </row>
    <row r="234" ht="15.75" customHeight="1">
      <c r="A234" s="14" t="s">
        <v>215</v>
      </c>
      <c r="B234" s="16" t="s">
        <v>217</v>
      </c>
      <c r="C234" s="16" t="s">
        <v>97</v>
      </c>
      <c r="D234" s="17" t="s">
        <v>1107</v>
      </c>
      <c r="E234" s="15">
        <v>21.0</v>
      </c>
      <c r="F234" s="20" t="s">
        <v>218</v>
      </c>
    </row>
    <row r="235" ht="15.75" customHeight="1">
      <c r="A235" s="14" t="s">
        <v>215</v>
      </c>
      <c r="B235" s="16" t="s">
        <v>217</v>
      </c>
      <c r="C235" s="16" t="s">
        <v>97</v>
      </c>
      <c r="D235" s="17" t="s">
        <v>384</v>
      </c>
      <c r="E235" s="15">
        <v>88.0</v>
      </c>
      <c r="F235" s="20" t="s">
        <v>218</v>
      </c>
    </row>
    <row r="236" ht="15.75" customHeight="1">
      <c r="A236" s="14" t="s">
        <v>215</v>
      </c>
      <c r="B236" s="16" t="s">
        <v>217</v>
      </c>
      <c r="C236" s="16" t="s">
        <v>97</v>
      </c>
      <c r="D236" s="17" t="s">
        <v>1111</v>
      </c>
      <c r="E236" s="15">
        <v>29.0</v>
      </c>
      <c r="F236" s="20" t="s">
        <v>218</v>
      </c>
    </row>
    <row r="237" ht="15.75" customHeight="1">
      <c r="A237" s="14" t="s">
        <v>215</v>
      </c>
      <c r="B237" s="16" t="s">
        <v>217</v>
      </c>
      <c r="C237" s="16" t="s">
        <v>97</v>
      </c>
      <c r="D237" s="17" t="s">
        <v>1112</v>
      </c>
      <c r="E237" s="15">
        <v>29.0</v>
      </c>
      <c r="F237" s="20" t="s">
        <v>218</v>
      </c>
    </row>
    <row r="238" ht="15.75" customHeight="1">
      <c r="A238" s="14" t="s">
        <v>215</v>
      </c>
      <c r="B238" s="16" t="s">
        <v>217</v>
      </c>
      <c r="C238" s="16" t="s">
        <v>97</v>
      </c>
      <c r="D238" s="17" t="s">
        <v>1113</v>
      </c>
      <c r="E238" s="15">
        <v>43.0</v>
      </c>
      <c r="F238" s="20" t="s">
        <v>218</v>
      </c>
    </row>
    <row r="239" ht="15.75" customHeight="1">
      <c r="A239" s="14" t="s">
        <v>215</v>
      </c>
      <c r="B239" s="16" t="s">
        <v>217</v>
      </c>
      <c r="C239" s="16" t="s">
        <v>97</v>
      </c>
      <c r="D239" s="17" t="s">
        <v>1114</v>
      </c>
      <c r="E239" s="15">
        <v>14.0</v>
      </c>
      <c r="F239" s="20" t="s">
        <v>218</v>
      </c>
    </row>
    <row r="240" ht="15.75" customHeight="1">
      <c r="A240" s="14" t="s">
        <v>215</v>
      </c>
      <c r="B240" s="16" t="s">
        <v>217</v>
      </c>
      <c r="C240" s="16" t="s">
        <v>97</v>
      </c>
      <c r="D240" s="17" t="s">
        <v>1115</v>
      </c>
      <c r="E240" s="15">
        <v>22.0</v>
      </c>
      <c r="F240" s="20" t="s">
        <v>218</v>
      </c>
    </row>
    <row r="241" ht="15.75" customHeight="1">
      <c r="A241" s="14" t="s">
        <v>215</v>
      </c>
      <c r="B241" s="16" t="s">
        <v>217</v>
      </c>
      <c r="C241" s="16" t="s">
        <v>97</v>
      </c>
      <c r="D241" s="17" t="s">
        <v>1119</v>
      </c>
      <c r="E241" s="15">
        <v>22.0</v>
      </c>
      <c r="F241" s="20" t="s">
        <v>218</v>
      </c>
    </row>
    <row r="242" ht="15.75" customHeight="1">
      <c r="A242" s="14" t="s">
        <v>215</v>
      </c>
      <c r="B242" s="16" t="s">
        <v>217</v>
      </c>
      <c r="C242" s="16" t="s">
        <v>97</v>
      </c>
      <c r="D242" s="17" t="s">
        <v>1121</v>
      </c>
      <c r="E242" s="15">
        <v>11.0</v>
      </c>
      <c r="F242" s="20" t="s">
        <v>218</v>
      </c>
    </row>
    <row r="243" ht="15.75" customHeight="1">
      <c r="A243" s="14" t="s">
        <v>215</v>
      </c>
      <c r="B243" s="16" t="s">
        <v>217</v>
      </c>
      <c r="C243" s="16" t="s">
        <v>97</v>
      </c>
      <c r="D243" s="17" t="s">
        <v>1122</v>
      </c>
      <c r="E243" s="15">
        <v>18.0</v>
      </c>
      <c r="F243" s="20" t="s">
        <v>218</v>
      </c>
    </row>
    <row r="244" ht="15.75" customHeight="1">
      <c r="A244" s="14" t="s">
        <v>215</v>
      </c>
      <c r="B244" s="16" t="s">
        <v>217</v>
      </c>
      <c r="C244" s="16" t="s">
        <v>97</v>
      </c>
      <c r="D244" s="17" t="s">
        <v>1125</v>
      </c>
      <c r="E244" s="15">
        <v>5.0</v>
      </c>
      <c r="F244" s="20" t="s">
        <v>218</v>
      </c>
    </row>
    <row r="245" ht="15.75" customHeight="1">
      <c r="A245" s="14" t="s">
        <v>215</v>
      </c>
      <c r="B245" s="16" t="s">
        <v>217</v>
      </c>
      <c r="C245" s="16" t="s">
        <v>97</v>
      </c>
      <c r="D245" s="17" t="s">
        <v>1126</v>
      </c>
      <c r="E245" s="15">
        <v>3.0</v>
      </c>
      <c r="F245" s="20" t="s">
        <v>218</v>
      </c>
    </row>
    <row r="246" ht="15.75" customHeight="1">
      <c r="A246" s="14" t="s">
        <v>215</v>
      </c>
      <c r="B246" s="16" t="s">
        <v>217</v>
      </c>
      <c r="C246" s="16" t="s">
        <v>97</v>
      </c>
      <c r="D246" s="17" t="s">
        <v>1129</v>
      </c>
      <c r="E246" s="15">
        <v>18.0</v>
      </c>
      <c r="F246" s="20" t="s">
        <v>218</v>
      </c>
    </row>
    <row r="247" ht="15.75" customHeight="1">
      <c r="A247" s="14" t="s">
        <v>215</v>
      </c>
      <c r="B247" s="16" t="s">
        <v>217</v>
      </c>
      <c r="C247" s="16" t="s">
        <v>97</v>
      </c>
      <c r="D247" s="17" t="s">
        <v>1131</v>
      </c>
      <c r="E247" s="15">
        <v>5.0</v>
      </c>
      <c r="F247" s="20" t="s">
        <v>218</v>
      </c>
    </row>
    <row r="248" ht="15.75" customHeight="1">
      <c r="A248" s="14" t="s">
        <v>215</v>
      </c>
      <c r="B248" s="16" t="s">
        <v>217</v>
      </c>
      <c r="C248" s="16" t="s">
        <v>97</v>
      </c>
      <c r="D248" s="17" t="s">
        <v>1133</v>
      </c>
      <c r="E248" s="15">
        <v>14.0</v>
      </c>
      <c r="F248" s="20" t="s">
        <v>218</v>
      </c>
    </row>
    <row r="249" ht="15.75" customHeight="1">
      <c r="A249" s="14" t="s">
        <v>215</v>
      </c>
      <c r="B249" s="16" t="s">
        <v>217</v>
      </c>
      <c r="C249" s="16" t="s">
        <v>97</v>
      </c>
      <c r="D249" s="17" t="s">
        <v>1134</v>
      </c>
      <c r="E249" s="15">
        <v>2.0</v>
      </c>
      <c r="F249" s="20" t="s">
        <v>218</v>
      </c>
    </row>
    <row r="250" ht="15.75" customHeight="1">
      <c r="A250" s="14" t="s">
        <v>215</v>
      </c>
      <c r="B250" s="16" t="s">
        <v>217</v>
      </c>
      <c r="C250" s="16" t="s">
        <v>97</v>
      </c>
      <c r="D250" s="17" t="s">
        <v>1136</v>
      </c>
      <c r="E250" s="15">
        <v>189.0</v>
      </c>
      <c r="F250" s="20" t="s">
        <v>218</v>
      </c>
    </row>
    <row r="251" ht="15.75" customHeight="1">
      <c r="A251" s="14" t="s">
        <v>215</v>
      </c>
      <c r="B251" s="16" t="s">
        <v>217</v>
      </c>
      <c r="C251" s="16" t="s">
        <v>97</v>
      </c>
      <c r="D251" s="17" t="s">
        <v>1137</v>
      </c>
      <c r="E251" s="15">
        <v>194.0</v>
      </c>
      <c r="F251" s="20" t="s">
        <v>218</v>
      </c>
    </row>
    <row r="252" ht="15.75" customHeight="1">
      <c r="A252" s="14" t="s">
        <v>215</v>
      </c>
      <c r="B252" s="16" t="s">
        <v>217</v>
      </c>
      <c r="C252" s="16" t="s">
        <v>97</v>
      </c>
      <c r="D252" s="17" t="s">
        <v>1139</v>
      </c>
      <c r="E252" s="15">
        <v>13.0</v>
      </c>
      <c r="F252" s="20" t="s">
        <v>218</v>
      </c>
    </row>
    <row r="253" ht="15.75" customHeight="1">
      <c r="A253" s="14" t="s">
        <v>215</v>
      </c>
      <c r="B253" s="16" t="s">
        <v>217</v>
      </c>
      <c r="C253" s="16" t="s">
        <v>97</v>
      </c>
      <c r="D253" s="17" t="s">
        <v>389</v>
      </c>
      <c r="E253" s="15">
        <v>52.0</v>
      </c>
      <c r="F253" s="20" t="s">
        <v>218</v>
      </c>
    </row>
    <row r="254" ht="15.75" customHeight="1">
      <c r="A254" s="14" t="s">
        <v>215</v>
      </c>
      <c r="B254" s="16" t="s">
        <v>217</v>
      </c>
      <c r="C254" s="16" t="s">
        <v>97</v>
      </c>
      <c r="D254" s="17" t="s">
        <v>1143</v>
      </c>
      <c r="E254" s="15">
        <v>10.0</v>
      </c>
      <c r="F254" s="20" t="s">
        <v>218</v>
      </c>
    </row>
    <row r="255" ht="15.75" customHeight="1">
      <c r="A255" s="14" t="s">
        <v>215</v>
      </c>
      <c r="B255" s="16" t="s">
        <v>217</v>
      </c>
      <c r="C255" s="16" t="s">
        <v>97</v>
      </c>
      <c r="D255" s="17" t="s">
        <v>1145</v>
      </c>
      <c r="E255" s="15">
        <v>39.0</v>
      </c>
      <c r="F255" s="20" t="s">
        <v>218</v>
      </c>
    </row>
    <row r="256" ht="15.75" customHeight="1">
      <c r="A256" s="14" t="s">
        <v>215</v>
      </c>
      <c r="B256" s="16" t="s">
        <v>217</v>
      </c>
      <c r="C256" s="16" t="s">
        <v>97</v>
      </c>
      <c r="D256" s="17" t="s">
        <v>1146</v>
      </c>
      <c r="E256" s="15">
        <v>28.0</v>
      </c>
      <c r="F256" s="20" t="s">
        <v>218</v>
      </c>
    </row>
    <row r="257" ht="15.75" customHeight="1">
      <c r="A257" s="14" t="s">
        <v>215</v>
      </c>
      <c r="B257" s="16" t="s">
        <v>217</v>
      </c>
      <c r="C257" s="16" t="s">
        <v>97</v>
      </c>
      <c r="D257" s="17" t="s">
        <v>1149</v>
      </c>
      <c r="E257" s="15">
        <v>4.0</v>
      </c>
      <c r="F257" s="20" t="s">
        <v>218</v>
      </c>
    </row>
    <row r="258" ht="15.75" customHeight="1">
      <c r="A258" s="14" t="s">
        <v>215</v>
      </c>
      <c r="B258" s="16" t="s">
        <v>217</v>
      </c>
      <c r="C258" s="16" t="s">
        <v>97</v>
      </c>
      <c r="D258" s="17" t="s">
        <v>1151</v>
      </c>
      <c r="E258" s="15">
        <v>38.0</v>
      </c>
      <c r="F258" s="20" t="s">
        <v>218</v>
      </c>
    </row>
    <row r="259" ht="15.75" customHeight="1">
      <c r="A259" s="14" t="s">
        <v>215</v>
      </c>
      <c r="B259" s="16" t="s">
        <v>217</v>
      </c>
      <c r="C259" s="16" t="s">
        <v>97</v>
      </c>
      <c r="D259" s="17" t="s">
        <v>1152</v>
      </c>
      <c r="E259" s="15">
        <v>23.0</v>
      </c>
      <c r="F259" s="20" t="s">
        <v>218</v>
      </c>
    </row>
    <row r="260" ht="15.75" customHeight="1">
      <c r="A260" s="14" t="s">
        <v>215</v>
      </c>
      <c r="B260" s="16" t="s">
        <v>217</v>
      </c>
      <c r="C260" s="16" t="s">
        <v>97</v>
      </c>
      <c r="D260" s="17" t="s">
        <v>1156</v>
      </c>
      <c r="E260" s="15">
        <v>4.0</v>
      </c>
      <c r="F260" s="20" t="s">
        <v>218</v>
      </c>
    </row>
    <row r="261" ht="15.75" customHeight="1">
      <c r="A261" s="14" t="s">
        <v>215</v>
      </c>
      <c r="B261" s="16" t="s">
        <v>217</v>
      </c>
      <c r="C261" s="16" t="s">
        <v>97</v>
      </c>
      <c r="D261" s="17" t="s">
        <v>1158</v>
      </c>
      <c r="E261" s="15">
        <v>31.0</v>
      </c>
      <c r="F261" s="20" t="s">
        <v>218</v>
      </c>
    </row>
    <row r="262" ht="15.75" customHeight="1">
      <c r="A262" s="14" t="s">
        <v>215</v>
      </c>
      <c r="B262" s="16" t="s">
        <v>217</v>
      </c>
      <c r="C262" s="16" t="s">
        <v>97</v>
      </c>
      <c r="D262" s="17" t="s">
        <v>1162</v>
      </c>
      <c r="E262" s="15">
        <v>17.0</v>
      </c>
      <c r="F262" s="20" t="s">
        <v>218</v>
      </c>
    </row>
    <row r="263" ht="15.75" customHeight="1">
      <c r="A263" s="14" t="s">
        <v>215</v>
      </c>
      <c r="B263" s="16" t="s">
        <v>217</v>
      </c>
      <c r="C263" s="16" t="s">
        <v>97</v>
      </c>
      <c r="D263" s="17" t="s">
        <v>1168</v>
      </c>
      <c r="E263" s="15">
        <v>28.0</v>
      </c>
      <c r="F263" s="20" t="s">
        <v>218</v>
      </c>
    </row>
    <row r="264" ht="15.75" customHeight="1">
      <c r="A264" s="14" t="s">
        <v>215</v>
      </c>
      <c r="B264" s="16" t="s">
        <v>217</v>
      </c>
      <c r="C264" s="16" t="s">
        <v>97</v>
      </c>
      <c r="D264" s="17" t="s">
        <v>1172</v>
      </c>
      <c r="E264" s="15">
        <v>12.0</v>
      </c>
      <c r="F264" s="20" t="s">
        <v>218</v>
      </c>
    </row>
    <row r="265" ht="15.75" customHeight="1">
      <c r="A265" s="14" t="s">
        <v>215</v>
      </c>
      <c r="B265" s="16" t="s">
        <v>217</v>
      </c>
      <c r="C265" s="16" t="s">
        <v>97</v>
      </c>
      <c r="D265" s="17" t="s">
        <v>1178</v>
      </c>
      <c r="E265" s="15">
        <v>22.0</v>
      </c>
      <c r="F265" s="20" t="s">
        <v>218</v>
      </c>
    </row>
    <row r="266" ht="15.75" customHeight="1">
      <c r="A266" s="14" t="s">
        <v>215</v>
      </c>
      <c r="B266" s="16" t="s">
        <v>217</v>
      </c>
      <c r="C266" s="16" t="s">
        <v>97</v>
      </c>
      <c r="D266" s="17" t="s">
        <v>1184</v>
      </c>
      <c r="E266" s="15">
        <v>9.0</v>
      </c>
      <c r="F266" s="20" t="s">
        <v>218</v>
      </c>
    </row>
    <row r="267" ht="15.75" customHeight="1">
      <c r="A267" s="14" t="s">
        <v>215</v>
      </c>
      <c r="B267" s="16" t="s">
        <v>217</v>
      </c>
      <c r="C267" s="16" t="s">
        <v>97</v>
      </c>
      <c r="D267" s="17" t="s">
        <v>1192</v>
      </c>
      <c r="E267" s="15">
        <v>1.0</v>
      </c>
      <c r="F267" s="20" t="s">
        <v>218</v>
      </c>
    </row>
    <row r="268" ht="15.75" customHeight="1">
      <c r="A268" s="14" t="s">
        <v>215</v>
      </c>
      <c r="B268" s="16" t="s">
        <v>217</v>
      </c>
      <c r="C268" s="16" t="s">
        <v>97</v>
      </c>
      <c r="D268" s="17" t="s">
        <v>1197</v>
      </c>
      <c r="E268" s="15">
        <v>1.0</v>
      </c>
      <c r="F268" s="20" t="s">
        <v>218</v>
      </c>
    </row>
    <row r="269" ht="15.75" customHeight="1">
      <c r="A269" s="14" t="s">
        <v>215</v>
      </c>
      <c r="B269" s="16" t="s">
        <v>217</v>
      </c>
      <c r="C269" s="16" t="s">
        <v>97</v>
      </c>
      <c r="D269" s="17" t="s">
        <v>1198</v>
      </c>
      <c r="E269" s="15">
        <v>46.0</v>
      </c>
      <c r="F269" s="20" t="s">
        <v>218</v>
      </c>
    </row>
    <row r="270" ht="15.75" customHeight="1">
      <c r="A270" s="14" t="s">
        <v>215</v>
      </c>
      <c r="B270" s="16" t="s">
        <v>217</v>
      </c>
      <c r="C270" s="16" t="s">
        <v>97</v>
      </c>
      <c r="D270" s="17" t="s">
        <v>1200</v>
      </c>
      <c r="E270" s="15">
        <v>81.0</v>
      </c>
      <c r="F270" s="20" t="s">
        <v>218</v>
      </c>
    </row>
    <row r="271" ht="15.75" customHeight="1">
      <c r="A271" s="14" t="s">
        <v>215</v>
      </c>
      <c r="B271" s="16" t="s">
        <v>217</v>
      </c>
      <c r="C271" s="16" t="s">
        <v>97</v>
      </c>
      <c r="D271" s="17" t="s">
        <v>1202</v>
      </c>
      <c r="E271" s="15">
        <v>5.0</v>
      </c>
      <c r="F271" s="20" t="s">
        <v>218</v>
      </c>
    </row>
    <row r="272" ht="15.75" customHeight="1">
      <c r="A272" s="14" t="s">
        <v>215</v>
      </c>
      <c r="B272" s="16" t="s">
        <v>217</v>
      </c>
      <c r="C272" s="16" t="s">
        <v>97</v>
      </c>
      <c r="D272" s="17" t="s">
        <v>393</v>
      </c>
      <c r="E272" s="15">
        <v>32.0</v>
      </c>
      <c r="F272" s="20" t="s">
        <v>218</v>
      </c>
    </row>
    <row r="273" ht="15.75" customHeight="1">
      <c r="A273" s="14" t="s">
        <v>215</v>
      </c>
      <c r="B273" s="16" t="s">
        <v>217</v>
      </c>
      <c r="C273" s="16" t="s">
        <v>97</v>
      </c>
      <c r="D273" s="17" t="s">
        <v>1206</v>
      </c>
      <c r="E273" s="15">
        <v>3.0</v>
      </c>
      <c r="F273" s="20" t="s">
        <v>218</v>
      </c>
    </row>
    <row r="274" ht="15.75" customHeight="1">
      <c r="A274" s="14" t="s">
        <v>215</v>
      </c>
      <c r="B274" s="16" t="s">
        <v>217</v>
      </c>
      <c r="C274" s="16" t="s">
        <v>97</v>
      </c>
      <c r="D274" s="17" t="s">
        <v>1208</v>
      </c>
      <c r="E274" s="15">
        <v>2.0</v>
      </c>
      <c r="F274" s="20" t="s">
        <v>218</v>
      </c>
    </row>
    <row r="275" ht="15.75" customHeight="1">
      <c r="A275" s="14" t="s">
        <v>215</v>
      </c>
      <c r="B275" s="16" t="s">
        <v>217</v>
      </c>
      <c r="C275" s="16" t="s">
        <v>97</v>
      </c>
      <c r="D275" s="17" t="s">
        <v>1211</v>
      </c>
      <c r="E275" s="15">
        <v>6.0</v>
      </c>
      <c r="F275" s="20" t="s">
        <v>218</v>
      </c>
    </row>
    <row r="276" ht="15.75" customHeight="1">
      <c r="A276" s="14" t="s">
        <v>215</v>
      </c>
      <c r="B276" s="16" t="s">
        <v>217</v>
      </c>
      <c r="C276" s="16" t="s">
        <v>97</v>
      </c>
      <c r="D276" s="17" t="s">
        <v>1213</v>
      </c>
      <c r="E276" s="15">
        <v>2.0</v>
      </c>
      <c r="F276" s="20" t="s">
        <v>218</v>
      </c>
    </row>
    <row r="277" ht="15.75" customHeight="1">
      <c r="A277" s="14" t="s">
        <v>215</v>
      </c>
      <c r="B277" s="16" t="s">
        <v>217</v>
      </c>
      <c r="C277" s="16" t="s">
        <v>97</v>
      </c>
      <c r="D277" s="17" t="s">
        <v>1215</v>
      </c>
      <c r="E277" s="15">
        <v>2.0</v>
      </c>
      <c r="F277" s="20" t="s">
        <v>218</v>
      </c>
    </row>
    <row r="278" ht="15.75" customHeight="1">
      <c r="A278" s="14" t="s">
        <v>215</v>
      </c>
      <c r="B278" s="16" t="s">
        <v>217</v>
      </c>
      <c r="C278" s="16" t="s">
        <v>97</v>
      </c>
      <c r="D278" s="17" t="s">
        <v>1218</v>
      </c>
      <c r="E278" s="15">
        <v>5.0</v>
      </c>
      <c r="F278" s="20" t="s">
        <v>218</v>
      </c>
    </row>
    <row r="279" ht="15.75" customHeight="1">
      <c r="A279" s="14" t="s">
        <v>215</v>
      </c>
      <c r="B279" s="16" t="s">
        <v>217</v>
      </c>
      <c r="C279" s="16" t="s">
        <v>97</v>
      </c>
      <c r="D279" s="17" t="s">
        <v>1220</v>
      </c>
      <c r="E279" s="15">
        <v>2.0</v>
      </c>
      <c r="F279" s="20" t="s">
        <v>218</v>
      </c>
    </row>
    <row r="280" ht="15.75" customHeight="1">
      <c r="A280" s="14" t="s">
        <v>215</v>
      </c>
      <c r="B280" s="16" t="s">
        <v>217</v>
      </c>
      <c r="C280" s="16" t="s">
        <v>97</v>
      </c>
      <c r="D280" s="17" t="s">
        <v>1223</v>
      </c>
      <c r="E280" s="15">
        <v>1.0</v>
      </c>
      <c r="F280" s="20" t="s">
        <v>218</v>
      </c>
    </row>
    <row r="281" ht="15.75" customHeight="1">
      <c r="A281" s="14" t="s">
        <v>215</v>
      </c>
      <c r="B281" s="16" t="s">
        <v>217</v>
      </c>
      <c r="C281" s="16" t="s">
        <v>97</v>
      </c>
      <c r="D281" s="17" t="s">
        <v>1224</v>
      </c>
      <c r="E281" s="15">
        <v>1.0</v>
      </c>
      <c r="F281" s="20" t="s">
        <v>218</v>
      </c>
    </row>
    <row r="282" ht="15.75" customHeight="1">
      <c r="A282" s="14" t="s">
        <v>215</v>
      </c>
      <c r="B282" s="16" t="s">
        <v>217</v>
      </c>
      <c r="C282" s="16" t="s">
        <v>97</v>
      </c>
      <c r="D282" s="17" t="s">
        <v>1226</v>
      </c>
      <c r="E282" s="15">
        <v>1.0</v>
      </c>
      <c r="F282" s="20" t="s">
        <v>218</v>
      </c>
    </row>
    <row r="283" ht="15.75" customHeight="1">
      <c r="A283" s="14" t="s">
        <v>215</v>
      </c>
      <c r="B283" s="16" t="s">
        <v>217</v>
      </c>
      <c r="C283" s="16" t="s">
        <v>97</v>
      </c>
      <c r="D283" s="17" t="s">
        <v>1228</v>
      </c>
      <c r="E283" s="15">
        <v>1.0</v>
      </c>
      <c r="F283" s="20" t="s">
        <v>218</v>
      </c>
    </row>
    <row r="284" ht="15.75" customHeight="1">
      <c r="A284" s="14" t="s">
        <v>215</v>
      </c>
      <c r="B284" s="16" t="s">
        <v>217</v>
      </c>
      <c r="C284" s="16" t="s">
        <v>97</v>
      </c>
      <c r="D284" s="17" t="s">
        <v>1231</v>
      </c>
      <c r="E284" s="15">
        <v>76.0</v>
      </c>
      <c r="F284" s="20" t="s">
        <v>218</v>
      </c>
    </row>
    <row r="285" ht="15.75" customHeight="1">
      <c r="A285" s="14" t="s">
        <v>215</v>
      </c>
      <c r="B285" s="16" t="s">
        <v>217</v>
      </c>
      <c r="C285" s="16" t="s">
        <v>97</v>
      </c>
      <c r="D285" s="17" t="s">
        <v>1233</v>
      </c>
      <c r="E285" s="15">
        <v>77.0</v>
      </c>
      <c r="F285" s="20" t="s">
        <v>218</v>
      </c>
    </row>
    <row r="286" ht="15.75" customHeight="1">
      <c r="A286" s="14" t="s">
        <v>215</v>
      </c>
      <c r="B286" s="16" t="s">
        <v>217</v>
      </c>
      <c r="C286" s="16" t="s">
        <v>97</v>
      </c>
      <c r="D286" s="17" t="s">
        <v>396</v>
      </c>
      <c r="E286" s="15">
        <v>24.0</v>
      </c>
      <c r="F286" s="20" t="s">
        <v>218</v>
      </c>
    </row>
    <row r="287" ht="15.75" customHeight="1">
      <c r="A287" s="14" t="s">
        <v>215</v>
      </c>
      <c r="B287" s="16" t="s">
        <v>217</v>
      </c>
      <c r="C287" s="16" t="s">
        <v>97</v>
      </c>
      <c r="D287" s="17" t="s">
        <v>1237</v>
      </c>
      <c r="E287" s="15">
        <v>2.0</v>
      </c>
      <c r="F287" s="20" t="s">
        <v>218</v>
      </c>
    </row>
    <row r="288" ht="15.75" customHeight="1">
      <c r="A288" s="14" t="s">
        <v>215</v>
      </c>
      <c r="B288" s="16" t="s">
        <v>217</v>
      </c>
      <c r="C288" s="16" t="s">
        <v>97</v>
      </c>
      <c r="D288" s="17" t="s">
        <v>1238</v>
      </c>
      <c r="E288" s="15">
        <v>25.0</v>
      </c>
      <c r="F288" s="20" t="s">
        <v>218</v>
      </c>
    </row>
    <row r="289" ht="15.75" customHeight="1">
      <c r="A289" s="14" t="s">
        <v>215</v>
      </c>
      <c r="B289" s="16" t="s">
        <v>217</v>
      </c>
      <c r="C289" s="16" t="s">
        <v>97</v>
      </c>
      <c r="D289" s="17" t="s">
        <v>1241</v>
      </c>
      <c r="E289" s="15">
        <v>18.0</v>
      </c>
      <c r="F289" s="20" t="s">
        <v>218</v>
      </c>
    </row>
    <row r="290" ht="15.75" customHeight="1">
      <c r="A290" s="14" t="s">
        <v>215</v>
      </c>
      <c r="B290" s="16" t="s">
        <v>217</v>
      </c>
      <c r="C290" s="16" t="s">
        <v>97</v>
      </c>
      <c r="D290" s="17" t="s">
        <v>1243</v>
      </c>
      <c r="E290" s="15">
        <v>1.0</v>
      </c>
      <c r="F290" s="20" t="s">
        <v>218</v>
      </c>
    </row>
    <row r="291" ht="15.75" customHeight="1">
      <c r="A291" s="14" t="s">
        <v>215</v>
      </c>
      <c r="B291" s="16" t="s">
        <v>217</v>
      </c>
      <c r="C291" s="16" t="s">
        <v>97</v>
      </c>
      <c r="D291" s="17" t="s">
        <v>1245</v>
      </c>
      <c r="E291" s="15">
        <v>24.0</v>
      </c>
      <c r="F291" s="20" t="s">
        <v>218</v>
      </c>
    </row>
    <row r="292" ht="15.75" customHeight="1">
      <c r="A292" s="14" t="s">
        <v>215</v>
      </c>
      <c r="B292" s="16" t="s">
        <v>217</v>
      </c>
      <c r="C292" s="16" t="s">
        <v>97</v>
      </c>
      <c r="D292" s="17" t="s">
        <v>1248</v>
      </c>
      <c r="E292" s="15">
        <v>14.0</v>
      </c>
      <c r="F292" s="20" t="s">
        <v>218</v>
      </c>
    </row>
    <row r="293" ht="15.75" customHeight="1">
      <c r="A293" s="14" t="s">
        <v>215</v>
      </c>
      <c r="B293" s="16" t="s">
        <v>217</v>
      </c>
      <c r="C293" s="16" t="s">
        <v>97</v>
      </c>
      <c r="D293" s="17" t="s">
        <v>1249</v>
      </c>
      <c r="E293" s="15">
        <v>1.0</v>
      </c>
      <c r="F293" s="20" t="s">
        <v>218</v>
      </c>
    </row>
    <row r="294" ht="15.75" customHeight="1">
      <c r="A294" s="14" t="s">
        <v>215</v>
      </c>
      <c r="B294" s="16" t="s">
        <v>217</v>
      </c>
      <c r="C294" s="16" t="s">
        <v>97</v>
      </c>
      <c r="D294" s="17" t="s">
        <v>1254</v>
      </c>
      <c r="E294" s="15">
        <v>22.0</v>
      </c>
      <c r="F294" s="20" t="s">
        <v>218</v>
      </c>
    </row>
    <row r="295" ht="15.75" customHeight="1">
      <c r="A295" s="14" t="s">
        <v>215</v>
      </c>
      <c r="B295" s="16" t="s">
        <v>217</v>
      </c>
      <c r="C295" s="16" t="s">
        <v>97</v>
      </c>
      <c r="D295" s="17" t="s">
        <v>1262</v>
      </c>
      <c r="E295" s="15">
        <v>10.0</v>
      </c>
      <c r="F295" s="20" t="s">
        <v>218</v>
      </c>
    </row>
    <row r="296" ht="15.75" customHeight="1">
      <c r="A296" s="14" t="s">
        <v>215</v>
      </c>
      <c r="B296" s="16" t="s">
        <v>217</v>
      </c>
      <c r="C296" s="16" t="s">
        <v>97</v>
      </c>
      <c r="D296" s="17" t="s">
        <v>1265</v>
      </c>
      <c r="E296" s="15">
        <v>18.0</v>
      </c>
      <c r="F296" s="20" t="s">
        <v>218</v>
      </c>
    </row>
    <row r="297" ht="15.75" customHeight="1">
      <c r="A297" s="14" t="s">
        <v>215</v>
      </c>
      <c r="B297" s="16" t="s">
        <v>217</v>
      </c>
      <c r="C297" s="16" t="s">
        <v>97</v>
      </c>
      <c r="D297" s="17" t="s">
        <v>1269</v>
      </c>
      <c r="E297" s="15">
        <v>7.0</v>
      </c>
      <c r="F297" s="20" t="s">
        <v>218</v>
      </c>
    </row>
    <row r="298" ht="15.75" customHeight="1">
      <c r="A298" s="14" t="s">
        <v>215</v>
      </c>
      <c r="B298" s="16" t="s">
        <v>217</v>
      </c>
      <c r="C298" s="16" t="s">
        <v>97</v>
      </c>
      <c r="D298" s="17" t="s">
        <v>1274</v>
      </c>
      <c r="E298" s="15">
        <v>14.0</v>
      </c>
      <c r="F298" s="20" t="s">
        <v>218</v>
      </c>
    </row>
    <row r="299" ht="15.75" customHeight="1">
      <c r="A299" s="14" t="s">
        <v>215</v>
      </c>
      <c r="B299" s="16" t="s">
        <v>217</v>
      </c>
      <c r="C299" s="16" t="s">
        <v>97</v>
      </c>
      <c r="D299" s="17" t="s">
        <v>1279</v>
      </c>
      <c r="E299" s="15">
        <v>7.0</v>
      </c>
      <c r="F299" s="20" t="s">
        <v>218</v>
      </c>
    </row>
    <row r="300" ht="15.75" customHeight="1">
      <c r="A300" s="14" t="s">
        <v>215</v>
      </c>
      <c r="B300" s="16" t="s">
        <v>217</v>
      </c>
      <c r="C300" s="16" t="s">
        <v>97</v>
      </c>
      <c r="D300" s="17" t="s">
        <v>1285</v>
      </c>
      <c r="E300" s="15">
        <v>12.0</v>
      </c>
      <c r="F300" s="20" t="s">
        <v>218</v>
      </c>
    </row>
    <row r="301" ht="15.75" customHeight="1">
      <c r="A301" s="14" t="s">
        <v>215</v>
      </c>
      <c r="B301" s="16" t="s">
        <v>217</v>
      </c>
      <c r="C301" s="16" t="s">
        <v>97</v>
      </c>
      <c r="D301" s="17" t="s">
        <v>1295</v>
      </c>
      <c r="E301" s="15">
        <v>34.0</v>
      </c>
      <c r="F301" s="20" t="s">
        <v>218</v>
      </c>
    </row>
    <row r="302" ht="15.75" customHeight="1">
      <c r="A302" s="14" t="s">
        <v>215</v>
      </c>
      <c r="B302" s="16" t="s">
        <v>217</v>
      </c>
      <c r="C302" s="16" t="s">
        <v>97</v>
      </c>
      <c r="D302" s="17" t="s">
        <v>400</v>
      </c>
      <c r="E302" s="15">
        <v>12.0</v>
      </c>
      <c r="F302" s="20" t="s">
        <v>218</v>
      </c>
    </row>
    <row r="303" ht="15.75" customHeight="1">
      <c r="A303" s="14" t="s">
        <v>215</v>
      </c>
      <c r="B303" s="16" t="s">
        <v>217</v>
      </c>
      <c r="C303" s="16" t="s">
        <v>97</v>
      </c>
      <c r="D303" s="17" t="s">
        <v>1306</v>
      </c>
      <c r="E303" s="15">
        <v>2.0</v>
      </c>
      <c r="F303" s="20" t="s">
        <v>218</v>
      </c>
    </row>
    <row r="304" ht="15.75" customHeight="1">
      <c r="A304" s="14" t="s">
        <v>215</v>
      </c>
      <c r="B304" s="16" t="s">
        <v>217</v>
      </c>
      <c r="C304" s="16" t="s">
        <v>97</v>
      </c>
      <c r="D304" s="17" t="s">
        <v>1314</v>
      </c>
      <c r="E304" s="15">
        <v>1.0</v>
      </c>
      <c r="F304" s="20" t="s">
        <v>218</v>
      </c>
    </row>
    <row r="305" ht="15.75" customHeight="1">
      <c r="A305" s="14" t="s">
        <v>215</v>
      </c>
      <c r="B305" s="16" t="s">
        <v>217</v>
      </c>
      <c r="C305" s="16" t="s">
        <v>97</v>
      </c>
      <c r="D305" s="17" t="s">
        <v>1321</v>
      </c>
      <c r="E305" s="15">
        <v>2.0</v>
      </c>
      <c r="F305" s="20" t="s">
        <v>218</v>
      </c>
    </row>
    <row r="306" ht="15.75" customHeight="1">
      <c r="A306" s="14" t="s">
        <v>215</v>
      </c>
      <c r="B306" s="16" t="s">
        <v>217</v>
      </c>
      <c r="C306" s="16" t="s">
        <v>97</v>
      </c>
      <c r="D306" s="17" t="s">
        <v>1331</v>
      </c>
      <c r="E306" s="15">
        <v>6.0</v>
      </c>
      <c r="F306" s="20" t="s">
        <v>218</v>
      </c>
    </row>
    <row r="307" ht="15.75" customHeight="1">
      <c r="A307" s="14" t="s">
        <v>215</v>
      </c>
      <c r="B307" s="16" t="s">
        <v>217</v>
      </c>
      <c r="C307" s="16" t="s">
        <v>97</v>
      </c>
      <c r="D307" s="17" t="s">
        <v>1339</v>
      </c>
      <c r="E307" s="15">
        <v>4.0</v>
      </c>
      <c r="F307" s="20" t="s">
        <v>218</v>
      </c>
    </row>
    <row r="308" ht="15.75" customHeight="1">
      <c r="A308" s="14" t="s">
        <v>215</v>
      </c>
      <c r="B308" s="16" t="s">
        <v>217</v>
      </c>
      <c r="C308" s="16" t="s">
        <v>97</v>
      </c>
      <c r="D308" s="17" t="s">
        <v>404</v>
      </c>
      <c r="E308" s="15">
        <v>7.0</v>
      </c>
      <c r="F308" s="20" t="s">
        <v>218</v>
      </c>
    </row>
    <row r="309" ht="15.75" customHeight="1">
      <c r="A309" s="14" t="s">
        <v>215</v>
      </c>
      <c r="B309" s="16" t="s">
        <v>217</v>
      </c>
      <c r="C309" s="16" t="s">
        <v>97</v>
      </c>
      <c r="D309" s="17" t="s">
        <v>1354</v>
      </c>
      <c r="E309" s="15">
        <v>2.0</v>
      </c>
      <c r="F309" s="20" t="s">
        <v>218</v>
      </c>
    </row>
    <row r="310" ht="15.75" customHeight="1">
      <c r="A310" s="14" t="s">
        <v>215</v>
      </c>
      <c r="B310" s="16" t="s">
        <v>217</v>
      </c>
      <c r="C310" s="16" t="s">
        <v>97</v>
      </c>
      <c r="D310" s="17" t="s">
        <v>1361</v>
      </c>
      <c r="E310" s="15">
        <v>1.0</v>
      </c>
      <c r="F310" s="20" t="s">
        <v>218</v>
      </c>
    </row>
    <row r="311" ht="15.75" customHeight="1">
      <c r="A311" s="14" t="s">
        <v>215</v>
      </c>
      <c r="B311" s="16" t="s">
        <v>217</v>
      </c>
      <c r="C311" s="16" t="s">
        <v>97</v>
      </c>
      <c r="D311" s="17" t="s">
        <v>1363</v>
      </c>
      <c r="E311" s="15">
        <v>2.0</v>
      </c>
      <c r="F311" s="20" t="s">
        <v>218</v>
      </c>
    </row>
    <row r="312" ht="15.75" customHeight="1">
      <c r="A312" s="14" t="s">
        <v>215</v>
      </c>
      <c r="B312" s="16" t="s">
        <v>217</v>
      </c>
      <c r="C312" s="16" t="s">
        <v>97</v>
      </c>
      <c r="D312" s="17" t="s">
        <v>1365</v>
      </c>
      <c r="E312" s="15">
        <v>1.0</v>
      </c>
      <c r="F312" s="20" t="s">
        <v>218</v>
      </c>
    </row>
    <row r="313" ht="15.75" customHeight="1">
      <c r="A313" s="14" t="s">
        <v>215</v>
      </c>
      <c r="B313" s="16" t="s">
        <v>217</v>
      </c>
      <c r="C313" s="16" t="s">
        <v>97</v>
      </c>
      <c r="D313" s="17" t="s">
        <v>407</v>
      </c>
      <c r="E313" s="15">
        <v>11.0</v>
      </c>
      <c r="F313" s="20" t="s">
        <v>218</v>
      </c>
    </row>
    <row r="314" ht="15.75" customHeight="1">
      <c r="A314" s="14" t="s">
        <v>215</v>
      </c>
      <c r="B314" s="16" t="s">
        <v>217</v>
      </c>
      <c r="C314" s="16" t="s">
        <v>97</v>
      </c>
      <c r="D314" s="17" t="s">
        <v>1368</v>
      </c>
      <c r="E314" s="15">
        <v>2.0</v>
      </c>
      <c r="F314" s="20" t="s">
        <v>218</v>
      </c>
    </row>
    <row r="315" ht="15.75" customHeight="1">
      <c r="A315" s="14" t="s">
        <v>215</v>
      </c>
      <c r="B315" s="16" t="s">
        <v>217</v>
      </c>
      <c r="C315" s="16" t="s">
        <v>97</v>
      </c>
      <c r="D315" s="17" t="s">
        <v>1370</v>
      </c>
      <c r="E315" s="15">
        <v>2.0</v>
      </c>
      <c r="F315" s="20" t="s">
        <v>218</v>
      </c>
    </row>
    <row r="316" ht="15.75" customHeight="1">
      <c r="A316" s="14" t="s">
        <v>215</v>
      </c>
      <c r="B316" s="16" t="s">
        <v>217</v>
      </c>
      <c r="C316" s="16" t="s">
        <v>97</v>
      </c>
      <c r="D316" s="17" t="s">
        <v>1373</v>
      </c>
      <c r="E316" s="15">
        <v>2.0</v>
      </c>
      <c r="F316" s="20" t="s">
        <v>218</v>
      </c>
    </row>
    <row r="317" ht="15.75" customHeight="1">
      <c r="A317" s="14" t="s">
        <v>215</v>
      </c>
      <c r="B317" s="16" t="s">
        <v>217</v>
      </c>
      <c r="C317" s="16" t="s">
        <v>97</v>
      </c>
      <c r="D317" s="17" t="s">
        <v>409</v>
      </c>
      <c r="E317" s="15">
        <v>5.0</v>
      </c>
      <c r="F317" s="20" t="s">
        <v>218</v>
      </c>
    </row>
    <row r="318" ht="15.75" customHeight="1">
      <c r="A318" s="14" t="s">
        <v>215</v>
      </c>
      <c r="B318" s="16" t="s">
        <v>217</v>
      </c>
      <c r="C318" s="16" t="s">
        <v>97</v>
      </c>
      <c r="D318" s="17" t="s">
        <v>1375</v>
      </c>
      <c r="E318" s="15">
        <v>1.0</v>
      </c>
      <c r="F318" s="20" t="s">
        <v>218</v>
      </c>
    </row>
    <row r="319" ht="15.75" customHeight="1">
      <c r="A319" s="14" t="s">
        <v>215</v>
      </c>
      <c r="B319" s="16" t="s">
        <v>217</v>
      </c>
      <c r="C319" s="16" t="s">
        <v>97</v>
      </c>
      <c r="D319" s="17" t="s">
        <v>1377</v>
      </c>
      <c r="E319" s="15">
        <v>1.0</v>
      </c>
      <c r="F319" s="20" t="s">
        <v>218</v>
      </c>
    </row>
    <row r="320" ht="15.75" customHeight="1">
      <c r="A320" s="14" t="s">
        <v>215</v>
      </c>
      <c r="B320" s="16" t="s">
        <v>217</v>
      </c>
      <c r="C320" s="16" t="s">
        <v>97</v>
      </c>
      <c r="D320" s="17" t="s">
        <v>1379</v>
      </c>
      <c r="E320" s="15">
        <v>1.0</v>
      </c>
      <c r="F320" s="20" t="s">
        <v>218</v>
      </c>
    </row>
    <row r="321" ht="15.75" customHeight="1">
      <c r="A321" s="14" t="s">
        <v>327</v>
      </c>
      <c r="B321" s="16" t="s">
        <v>277</v>
      </c>
      <c r="C321" s="16" t="s">
        <v>97</v>
      </c>
      <c r="D321" s="17" t="s">
        <v>852</v>
      </c>
      <c r="E321" s="15">
        <v>1.0</v>
      </c>
      <c r="F321" s="20" t="s">
        <v>328</v>
      </c>
    </row>
    <row r="322" ht="15.75" customHeight="1">
      <c r="A322" s="14" t="s">
        <v>194</v>
      </c>
      <c r="B322" s="16" t="s">
        <v>140</v>
      </c>
      <c r="C322" s="16" t="s">
        <v>46</v>
      </c>
      <c r="D322" s="17" t="s">
        <v>454</v>
      </c>
      <c r="E322" s="15">
        <v>50.0</v>
      </c>
      <c r="F322" s="20" t="s">
        <v>196</v>
      </c>
    </row>
    <row r="323" ht="15.75" customHeight="1">
      <c r="A323" s="14" t="s">
        <v>194</v>
      </c>
      <c r="B323" s="16" t="s">
        <v>140</v>
      </c>
      <c r="C323" s="16" t="s">
        <v>46</v>
      </c>
      <c r="D323" s="17" t="s">
        <v>455</v>
      </c>
      <c r="E323" s="15">
        <v>26.0</v>
      </c>
      <c r="F323" s="20" t="s">
        <v>196</v>
      </c>
    </row>
    <row r="324" ht="15.75" customHeight="1">
      <c r="A324" s="14" t="s">
        <v>194</v>
      </c>
      <c r="B324" s="16" t="s">
        <v>140</v>
      </c>
      <c r="C324" s="16" t="s">
        <v>46</v>
      </c>
      <c r="D324" s="17" t="s">
        <v>459</v>
      </c>
      <c r="E324" s="15">
        <v>16.0</v>
      </c>
      <c r="F324" s="20" t="s">
        <v>196</v>
      </c>
    </row>
    <row r="325" ht="15.75" customHeight="1">
      <c r="A325" s="14" t="s">
        <v>194</v>
      </c>
      <c r="B325" s="16" t="s">
        <v>140</v>
      </c>
      <c r="C325" s="16" t="s">
        <v>114</v>
      </c>
      <c r="D325" s="17" t="s">
        <v>704</v>
      </c>
      <c r="E325" s="15">
        <v>729.0</v>
      </c>
      <c r="F325" s="20" t="s">
        <v>196</v>
      </c>
    </row>
    <row r="326" ht="15.75" customHeight="1">
      <c r="A326" s="14" t="s">
        <v>194</v>
      </c>
      <c r="B326" s="16" t="s">
        <v>140</v>
      </c>
      <c r="C326" s="16" t="s">
        <v>114</v>
      </c>
      <c r="D326" s="17" t="s">
        <v>709</v>
      </c>
      <c r="E326" s="15">
        <v>318.0</v>
      </c>
      <c r="F326" s="20" t="s">
        <v>196</v>
      </c>
    </row>
    <row r="327" ht="15.75" customHeight="1">
      <c r="A327" s="14" t="s">
        <v>194</v>
      </c>
      <c r="B327" s="16" t="s">
        <v>140</v>
      </c>
      <c r="C327" s="16" t="s">
        <v>114</v>
      </c>
      <c r="D327" s="17" t="s">
        <v>714</v>
      </c>
      <c r="E327" s="15">
        <v>100.0</v>
      </c>
      <c r="F327" s="20" t="s">
        <v>196</v>
      </c>
    </row>
    <row r="328" ht="15.75" customHeight="1">
      <c r="A328" s="14" t="s">
        <v>194</v>
      </c>
      <c r="B328" s="16" t="s">
        <v>140</v>
      </c>
      <c r="C328" s="16" t="s">
        <v>114</v>
      </c>
      <c r="D328" s="17" t="s">
        <v>719</v>
      </c>
      <c r="E328" s="15">
        <v>45.0</v>
      </c>
      <c r="F328" s="20" t="s">
        <v>196</v>
      </c>
    </row>
    <row r="329" ht="15.75" customHeight="1">
      <c r="A329" s="14" t="s">
        <v>194</v>
      </c>
      <c r="B329" s="16" t="s">
        <v>140</v>
      </c>
      <c r="C329" s="16" t="s">
        <v>114</v>
      </c>
      <c r="D329" s="17" t="s">
        <v>722</v>
      </c>
      <c r="E329" s="15">
        <v>27.0</v>
      </c>
      <c r="F329" s="20" t="s">
        <v>196</v>
      </c>
    </row>
    <row r="330" ht="15.75" customHeight="1">
      <c r="A330" s="14" t="s">
        <v>194</v>
      </c>
      <c r="B330" s="16" t="s">
        <v>140</v>
      </c>
      <c r="C330" s="16" t="s">
        <v>114</v>
      </c>
      <c r="D330" s="17" t="s">
        <v>461</v>
      </c>
      <c r="E330" s="15">
        <v>35.0</v>
      </c>
      <c r="F330" s="20" t="s">
        <v>196</v>
      </c>
    </row>
    <row r="331" ht="15.75" customHeight="1">
      <c r="A331" s="14" t="s">
        <v>194</v>
      </c>
      <c r="B331" s="16" t="s">
        <v>140</v>
      </c>
      <c r="C331" s="16" t="s">
        <v>114</v>
      </c>
      <c r="D331" s="17" t="s">
        <v>463</v>
      </c>
      <c r="E331" s="15">
        <v>6.0</v>
      </c>
      <c r="F331" s="20" t="s">
        <v>196</v>
      </c>
    </row>
    <row r="332" ht="15.75" customHeight="1">
      <c r="A332" s="14" t="s">
        <v>194</v>
      </c>
      <c r="B332" s="16" t="s">
        <v>140</v>
      </c>
      <c r="C332" s="16" t="s">
        <v>97</v>
      </c>
      <c r="D332" s="17" t="s">
        <v>467</v>
      </c>
      <c r="E332" s="15">
        <v>527.0</v>
      </c>
      <c r="F332" s="20" t="s">
        <v>196</v>
      </c>
    </row>
    <row r="333" ht="15.75" customHeight="1">
      <c r="A333" s="14" t="s">
        <v>194</v>
      </c>
      <c r="B333" s="16" t="s">
        <v>140</v>
      </c>
      <c r="C333" s="16" t="s">
        <v>97</v>
      </c>
      <c r="D333" s="17" t="s">
        <v>471</v>
      </c>
      <c r="E333" s="15">
        <v>28.0</v>
      </c>
      <c r="F333" s="20" t="s">
        <v>196</v>
      </c>
    </row>
    <row r="334" ht="15.75" customHeight="1">
      <c r="A334" s="14" t="s">
        <v>194</v>
      </c>
      <c r="B334" s="16" t="s">
        <v>140</v>
      </c>
      <c r="C334" s="16" t="s">
        <v>97</v>
      </c>
      <c r="D334" s="17" t="s">
        <v>476</v>
      </c>
      <c r="E334" s="15">
        <v>9.0</v>
      </c>
      <c r="F334" s="20" t="s">
        <v>196</v>
      </c>
    </row>
    <row r="335" ht="15.75" customHeight="1">
      <c r="A335" s="14" t="s">
        <v>194</v>
      </c>
      <c r="B335" s="16" t="s">
        <v>140</v>
      </c>
      <c r="C335" s="16" t="s">
        <v>97</v>
      </c>
      <c r="D335" s="17" t="s">
        <v>480</v>
      </c>
      <c r="E335" s="15">
        <v>349.0</v>
      </c>
      <c r="F335" s="20" t="s">
        <v>196</v>
      </c>
    </row>
    <row r="336" ht="15.75" customHeight="1">
      <c r="A336" s="14" t="s">
        <v>194</v>
      </c>
      <c r="B336" s="16" t="s">
        <v>140</v>
      </c>
      <c r="C336" s="16" t="s">
        <v>97</v>
      </c>
      <c r="D336" s="17" t="s">
        <v>483</v>
      </c>
      <c r="E336" s="15">
        <v>153.0</v>
      </c>
      <c r="F336" s="20" t="s">
        <v>196</v>
      </c>
    </row>
    <row r="337" ht="15.75" customHeight="1">
      <c r="A337" s="14" t="s">
        <v>194</v>
      </c>
      <c r="B337" s="16" t="s">
        <v>140</v>
      </c>
      <c r="C337" s="16" t="s">
        <v>97</v>
      </c>
      <c r="D337" s="17" t="s">
        <v>487</v>
      </c>
      <c r="E337" s="15">
        <v>76.0</v>
      </c>
      <c r="F337" s="20" t="s">
        <v>196</v>
      </c>
    </row>
    <row r="338" ht="15.75" customHeight="1">
      <c r="A338" s="14" t="s">
        <v>194</v>
      </c>
      <c r="B338" s="16" t="s">
        <v>140</v>
      </c>
      <c r="C338" s="16" t="s">
        <v>97</v>
      </c>
      <c r="D338" s="17" t="s">
        <v>491</v>
      </c>
      <c r="E338" s="15">
        <v>47.0</v>
      </c>
      <c r="F338" s="20" t="s">
        <v>196</v>
      </c>
    </row>
    <row r="339" ht="15.75" customHeight="1">
      <c r="A339" s="14" t="s">
        <v>194</v>
      </c>
      <c r="B339" s="16" t="s">
        <v>140</v>
      </c>
      <c r="C339" s="16" t="s">
        <v>97</v>
      </c>
      <c r="D339" s="17" t="s">
        <v>495</v>
      </c>
      <c r="E339" s="15">
        <v>38.0</v>
      </c>
      <c r="F339" s="20" t="s">
        <v>196</v>
      </c>
    </row>
    <row r="340" ht="15.75" customHeight="1">
      <c r="A340" s="14" t="s">
        <v>194</v>
      </c>
      <c r="B340" s="16" t="s">
        <v>140</v>
      </c>
      <c r="C340" s="16" t="s">
        <v>97</v>
      </c>
      <c r="D340" s="17" t="s">
        <v>497</v>
      </c>
      <c r="E340" s="15">
        <v>34.0</v>
      </c>
      <c r="F340" s="20" t="s">
        <v>196</v>
      </c>
    </row>
    <row r="341" ht="15.75" customHeight="1">
      <c r="A341" s="14" t="s">
        <v>194</v>
      </c>
      <c r="B341" s="16" t="s">
        <v>140</v>
      </c>
      <c r="C341" s="16" t="s">
        <v>97</v>
      </c>
      <c r="D341" s="17" t="s">
        <v>500</v>
      </c>
      <c r="E341" s="15">
        <v>29.0</v>
      </c>
      <c r="F341" s="20" t="s">
        <v>196</v>
      </c>
    </row>
    <row r="342" ht="15.75" customHeight="1">
      <c r="A342" s="14" t="s">
        <v>194</v>
      </c>
      <c r="B342" s="16" t="s">
        <v>140</v>
      </c>
      <c r="C342" s="16" t="s">
        <v>97</v>
      </c>
      <c r="D342" s="17" t="s">
        <v>503</v>
      </c>
      <c r="E342" s="15">
        <v>24.0</v>
      </c>
      <c r="F342" s="20" t="s">
        <v>196</v>
      </c>
    </row>
    <row r="343" ht="15.75" customHeight="1">
      <c r="A343" s="14" t="s">
        <v>258</v>
      </c>
      <c r="B343" s="16" t="s">
        <v>130</v>
      </c>
      <c r="C343" s="16" t="s">
        <v>114</v>
      </c>
      <c r="D343" s="17" t="s">
        <v>704</v>
      </c>
      <c r="E343" s="15">
        <v>177.0</v>
      </c>
      <c r="F343" s="20" t="s">
        <v>261</v>
      </c>
    </row>
    <row r="344" ht="15.75" customHeight="1">
      <c r="A344" s="14" t="s">
        <v>258</v>
      </c>
      <c r="B344" s="16" t="s">
        <v>130</v>
      </c>
      <c r="C344" s="16" t="s">
        <v>114</v>
      </c>
      <c r="D344" s="17" t="s">
        <v>709</v>
      </c>
      <c r="E344" s="15">
        <v>71.0</v>
      </c>
      <c r="F344" s="20" t="s">
        <v>261</v>
      </c>
    </row>
    <row r="345" ht="15.75" customHeight="1">
      <c r="A345" s="14" t="s">
        <v>258</v>
      </c>
      <c r="B345" s="16" t="s">
        <v>130</v>
      </c>
      <c r="C345" s="16" t="s">
        <v>114</v>
      </c>
      <c r="D345" s="17" t="s">
        <v>714</v>
      </c>
      <c r="E345" s="15">
        <v>6.0</v>
      </c>
      <c r="F345" s="20" t="s">
        <v>261</v>
      </c>
    </row>
    <row r="346" ht="15.75" customHeight="1">
      <c r="A346" s="14" t="s">
        <v>258</v>
      </c>
      <c r="B346" s="16" t="s">
        <v>130</v>
      </c>
      <c r="C346" s="16" t="s">
        <v>114</v>
      </c>
      <c r="D346" s="17" t="s">
        <v>461</v>
      </c>
      <c r="E346" s="15">
        <v>162.0</v>
      </c>
      <c r="F346" s="20" t="s">
        <v>261</v>
      </c>
    </row>
    <row r="347" ht="15.75" customHeight="1">
      <c r="A347" s="14" t="s">
        <v>258</v>
      </c>
      <c r="B347" s="16" t="s">
        <v>130</v>
      </c>
      <c r="C347" s="16" t="s">
        <v>114</v>
      </c>
      <c r="D347" s="17" t="s">
        <v>463</v>
      </c>
      <c r="E347" s="15">
        <v>92.0</v>
      </c>
      <c r="F347" s="20" t="s">
        <v>261</v>
      </c>
    </row>
    <row r="348" ht="15.75" customHeight="1">
      <c r="A348" s="14" t="s">
        <v>258</v>
      </c>
      <c r="B348" s="16" t="s">
        <v>130</v>
      </c>
      <c r="C348" s="16" t="s">
        <v>97</v>
      </c>
      <c r="D348" s="17" t="s">
        <v>467</v>
      </c>
      <c r="E348" s="15">
        <v>10.0</v>
      </c>
      <c r="F348" s="20" t="s">
        <v>261</v>
      </c>
    </row>
    <row r="349" ht="15.75" customHeight="1">
      <c r="A349" s="14" t="s">
        <v>258</v>
      </c>
      <c r="B349" s="16" t="s">
        <v>130</v>
      </c>
      <c r="C349" s="16" t="s">
        <v>97</v>
      </c>
      <c r="D349" s="17" t="s">
        <v>480</v>
      </c>
      <c r="E349" s="15">
        <v>6.0</v>
      </c>
      <c r="F349" s="20" t="s">
        <v>261</v>
      </c>
    </row>
    <row r="350" ht="15.75" customHeight="1">
      <c r="A350" s="14" t="s">
        <v>258</v>
      </c>
      <c r="B350" s="16" t="s">
        <v>130</v>
      </c>
      <c r="C350" s="16" t="s">
        <v>97</v>
      </c>
      <c r="D350" s="17" t="s">
        <v>483</v>
      </c>
      <c r="E350" s="15">
        <v>7.0</v>
      </c>
      <c r="F350" s="20" t="s">
        <v>261</v>
      </c>
    </row>
    <row r="351" ht="15.75" customHeight="1">
      <c r="A351" s="14" t="s">
        <v>258</v>
      </c>
      <c r="B351" s="16" t="s">
        <v>130</v>
      </c>
      <c r="C351" s="16" t="s">
        <v>97</v>
      </c>
      <c r="D351" s="17" t="s">
        <v>487</v>
      </c>
      <c r="E351" s="15">
        <v>7.0</v>
      </c>
      <c r="F351" s="20" t="s">
        <v>261</v>
      </c>
    </row>
    <row r="352" ht="15.75" customHeight="1">
      <c r="A352" s="14" t="s">
        <v>258</v>
      </c>
      <c r="B352" s="16" t="s">
        <v>130</v>
      </c>
      <c r="C352" s="16" t="s">
        <v>97</v>
      </c>
      <c r="D352" s="17" t="s">
        <v>491</v>
      </c>
      <c r="E352" s="15">
        <v>3.0</v>
      </c>
      <c r="F352" s="20" t="s">
        <v>261</v>
      </c>
    </row>
    <row r="353" ht="15.75" customHeight="1">
      <c r="A353" s="14" t="s">
        <v>258</v>
      </c>
      <c r="B353" s="16" t="s">
        <v>130</v>
      </c>
      <c r="C353" s="16" t="s">
        <v>97</v>
      </c>
      <c r="D353" s="17" t="s">
        <v>495</v>
      </c>
      <c r="E353" s="15">
        <v>3.0</v>
      </c>
      <c r="F353" s="20" t="s">
        <v>261</v>
      </c>
    </row>
    <row r="354" ht="15.75" customHeight="1">
      <c r="A354" s="14" t="s">
        <v>258</v>
      </c>
      <c r="B354" s="16" t="s">
        <v>130</v>
      </c>
      <c r="C354" s="16" t="s">
        <v>97</v>
      </c>
      <c r="D354" s="17" t="s">
        <v>497</v>
      </c>
      <c r="E354" s="15">
        <v>1.0</v>
      </c>
      <c r="F354" s="20" t="s">
        <v>261</v>
      </c>
    </row>
    <row r="355" ht="15.75" customHeight="1">
      <c r="A355" s="14" t="s">
        <v>258</v>
      </c>
      <c r="B355" s="16" t="s">
        <v>130</v>
      </c>
      <c r="C355" s="16" t="s">
        <v>97</v>
      </c>
      <c r="D355" s="17" t="s">
        <v>500</v>
      </c>
      <c r="E355" s="15">
        <v>1.0</v>
      </c>
      <c r="F355" s="20" t="s">
        <v>261</v>
      </c>
    </row>
    <row r="356" ht="15.75" customHeight="1">
      <c r="A356" s="14" t="s">
        <v>268</v>
      </c>
      <c r="B356" s="16" t="s">
        <v>130</v>
      </c>
      <c r="C356" s="16" t="s">
        <v>97</v>
      </c>
      <c r="D356" s="17" t="s">
        <v>1464</v>
      </c>
      <c r="E356" s="15">
        <v>1.0</v>
      </c>
      <c r="F356" s="20" t="s">
        <v>269</v>
      </c>
    </row>
    <row r="357" ht="15.75" customHeight="1">
      <c r="A357" s="14" t="s">
        <v>268</v>
      </c>
      <c r="B357" s="16" t="s">
        <v>130</v>
      </c>
      <c r="C357" s="16" t="s">
        <v>97</v>
      </c>
      <c r="D357" s="17" t="s">
        <v>963</v>
      </c>
      <c r="E357" s="15">
        <v>53.0</v>
      </c>
      <c r="F357" s="20" t="s">
        <v>269</v>
      </c>
    </row>
    <row r="358" ht="15.75" customHeight="1">
      <c r="A358" s="14" t="s">
        <v>268</v>
      </c>
      <c r="B358" s="16" t="s">
        <v>130</v>
      </c>
      <c r="C358" s="16" t="s">
        <v>97</v>
      </c>
      <c r="D358" s="17" t="s">
        <v>1107</v>
      </c>
      <c r="E358" s="15">
        <v>36.0</v>
      </c>
      <c r="F358" s="20" t="s">
        <v>269</v>
      </c>
    </row>
    <row r="359" ht="15.75" customHeight="1">
      <c r="A359" s="14" t="s">
        <v>268</v>
      </c>
      <c r="B359" s="16" t="s">
        <v>130</v>
      </c>
      <c r="C359" s="16" t="s">
        <v>97</v>
      </c>
      <c r="D359" s="17" t="s">
        <v>1139</v>
      </c>
      <c r="E359" s="15">
        <v>18.0</v>
      </c>
      <c r="F359" s="20" t="s">
        <v>269</v>
      </c>
    </row>
    <row r="360" ht="15.75" customHeight="1">
      <c r="A360" s="14" t="s">
        <v>268</v>
      </c>
      <c r="B360" s="16" t="s">
        <v>130</v>
      </c>
      <c r="C360" s="16" t="s">
        <v>97</v>
      </c>
      <c r="D360" s="17" t="s">
        <v>1202</v>
      </c>
      <c r="E360" s="15">
        <v>5.0</v>
      </c>
      <c r="F360" s="20" t="s">
        <v>269</v>
      </c>
    </row>
    <row r="361" ht="15.75" customHeight="1">
      <c r="A361" s="14" t="s">
        <v>268</v>
      </c>
      <c r="B361" s="16" t="s">
        <v>130</v>
      </c>
      <c r="C361" s="16" t="s">
        <v>97</v>
      </c>
      <c r="D361" s="17" t="s">
        <v>1492</v>
      </c>
      <c r="E361" s="15">
        <v>2.0</v>
      </c>
      <c r="F361" s="20" t="s">
        <v>269</v>
      </c>
    </row>
    <row r="362" ht="15.75" customHeight="1">
      <c r="A362" s="14" t="s">
        <v>268</v>
      </c>
      <c r="B362" s="16" t="s">
        <v>130</v>
      </c>
      <c r="C362" s="16" t="s">
        <v>97</v>
      </c>
      <c r="D362" s="17" t="s">
        <v>1494</v>
      </c>
      <c r="E362" s="15">
        <v>1.0</v>
      </c>
      <c r="F362" s="20" t="s">
        <v>269</v>
      </c>
    </row>
    <row r="363" ht="15.75" customHeight="1">
      <c r="A363" s="14" t="s">
        <v>337</v>
      </c>
      <c r="B363" s="16" t="s">
        <v>277</v>
      </c>
      <c r="C363" s="16" t="s">
        <v>97</v>
      </c>
      <c r="D363" s="17" t="s">
        <v>845</v>
      </c>
      <c r="E363" s="15">
        <v>1.0</v>
      </c>
      <c r="F363" s="20" t="s">
        <v>338</v>
      </c>
    </row>
    <row r="364" ht="15.75" customHeight="1">
      <c r="A364" s="14" t="s">
        <v>337</v>
      </c>
      <c r="B364" s="16" t="s">
        <v>277</v>
      </c>
      <c r="C364" s="16" t="s">
        <v>97</v>
      </c>
      <c r="D364" s="17" t="s">
        <v>855</v>
      </c>
      <c r="E364" s="15">
        <v>1.0</v>
      </c>
      <c r="F364" s="20" t="s">
        <v>338</v>
      </c>
    </row>
    <row r="365" ht="15.75" customHeight="1">
      <c r="A365" s="14" t="s">
        <v>139</v>
      </c>
      <c r="B365" s="16" t="s">
        <v>140</v>
      </c>
      <c r="C365" s="16" t="s">
        <v>46</v>
      </c>
      <c r="D365" s="17" t="s">
        <v>383</v>
      </c>
      <c r="E365" s="15">
        <v>1055.0</v>
      </c>
      <c r="F365" s="20" t="s">
        <v>142</v>
      </c>
    </row>
    <row r="366" ht="15.75" customHeight="1">
      <c r="A366" s="14" t="s">
        <v>139</v>
      </c>
      <c r="B366" s="16" t="s">
        <v>140</v>
      </c>
      <c r="C366" s="16" t="s">
        <v>46</v>
      </c>
      <c r="D366" s="17" t="s">
        <v>405</v>
      </c>
      <c r="E366" s="15">
        <v>754.0</v>
      </c>
      <c r="F366" s="20" t="s">
        <v>142</v>
      </c>
    </row>
    <row r="367" ht="15.75" customHeight="1">
      <c r="A367" s="14" t="s">
        <v>139</v>
      </c>
      <c r="B367" s="16" t="s">
        <v>140</v>
      </c>
      <c r="C367" s="16" t="s">
        <v>46</v>
      </c>
      <c r="D367" s="17" t="s">
        <v>411</v>
      </c>
      <c r="E367" s="15">
        <v>604.0</v>
      </c>
      <c r="F367" s="20" t="s">
        <v>142</v>
      </c>
    </row>
    <row r="368" ht="15.75" customHeight="1">
      <c r="A368" s="14" t="s">
        <v>139</v>
      </c>
      <c r="B368" s="16" t="s">
        <v>140</v>
      </c>
      <c r="C368" s="16" t="s">
        <v>46</v>
      </c>
      <c r="D368" s="17" t="s">
        <v>417</v>
      </c>
      <c r="E368" s="15">
        <v>378.0</v>
      </c>
      <c r="F368" s="20" t="s">
        <v>142</v>
      </c>
    </row>
    <row r="369" ht="15.75" customHeight="1">
      <c r="A369" s="14" t="s">
        <v>139</v>
      </c>
      <c r="B369" s="16" t="s">
        <v>140</v>
      </c>
      <c r="C369" s="16" t="s">
        <v>46</v>
      </c>
      <c r="D369" s="17" t="s">
        <v>434</v>
      </c>
      <c r="E369" s="15">
        <v>231.0</v>
      </c>
      <c r="F369" s="20" t="s">
        <v>142</v>
      </c>
    </row>
    <row r="370" ht="15.75" customHeight="1">
      <c r="A370" s="14" t="s">
        <v>139</v>
      </c>
      <c r="B370" s="16" t="s">
        <v>140</v>
      </c>
      <c r="C370" s="16" t="s">
        <v>46</v>
      </c>
      <c r="D370" s="17" t="s">
        <v>464</v>
      </c>
      <c r="E370" s="15">
        <v>393.0</v>
      </c>
      <c r="F370" s="20" t="s">
        <v>142</v>
      </c>
    </row>
    <row r="371" ht="15.75" customHeight="1">
      <c r="A371" s="14" t="s">
        <v>139</v>
      </c>
      <c r="B371" s="16" t="s">
        <v>140</v>
      </c>
      <c r="C371" s="16" t="s">
        <v>46</v>
      </c>
      <c r="D371" s="17" t="s">
        <v>475</v>
      </c>
      <c r="E371" s="15">
        <v>282.0</v>
      </c>
      <c r="F371" s="20" t="s">
        <v>142</v>
      </c>
    </row>
    <row r="372" ht="15.75" customHeight="1">
      <c r="A372" s="14" t="s">
        <v>139</v>
      </c>
      <c r="B372" s="16" t="s">
        <v>140</v>
      </c>
      <c r="C372" s="16" t="s">
        <v>46</v>
      </c>
      <c r="D372" s="17" t="s">
        <v>485</v>
      </c>
      <c r="E372" s="15">
        <v>227.0</v>
      </c>
      <c r="F372" s="20" t="s">
        <v>142</v>
      </c>
    </row>
    <row r="373" ht="15.75" customHeight="1">
      <c r="A373" s="14" t="s">
        <v>139</v>
      </c>
      <c r="B373" s="16" t="s">
        <v>140</v>
      </c>
      <c r="C373" s="16" t="s">
        <v>46</v>
      </c>
      <c r="D373" s="17" t="s">
        <v>493</v>
      </c>
      <c r="E373" s="15">
        <v>153.0</v>
      </c>
      <c r="F373" s="20" t="s">
        <v>142</v>
      </c>
    </row>
    <row r="374" ht="15.75" customHeight="1">
      <c r="A374" s="14" t="s">
        <v>139</v>
      </c>
      <c r="B374" s="16" t="s">
        <v>140</v>
      </c>
      <c r="C374" s="16" t="s">
        <v>46</v>
      </c>
      <c r="D374" s="17" t="s">
        <v>501</v>
      </c>
      <c r="E374" s="15">
        <v>94.0</v>
      </c>
      <c r="F374" s="20" t="s">
        <v>142</v>
      </c>
    </row>
    <row r="375" ht="15.75" customHeight="1">
      <c r="A375" s="14" t="s">
        <v>139</v>
      </c>
      <c r="B375" s="16" t="s">
        <v>140</v>
      </c>
      <c r="C375" s="16" t="s">
        <v>46</v>
      </c>
      <c r="D375" s="17" t="s">
        <v>550</v>
      </c>
      <c r="E375" s="15">
        <v>220.0</v>
      </c>
      <c r="F375" s="20" t="s">
        <v>142</v>
      </c>
    </row>
    <row r="376" ht="15.75" customHeight="1">
      <c r="A376" s="14" t="s">
        <v>139</v>
      </c>
      <c r="B376" s="16" t="s">
        <v>140</v>
      </c>
      <c r="C376" s="16" t="s">
        <v>46</v>
      </c>
      <c r="D376" s="17" t="s">
        <v>564</v>
      </c>
      <c r="E376" s="15">
        <v>153.0</v>
      </c>
      <c r="F376" s="20" t="s">
        <v>142</v>
      </c>
    </row>
    <row r="377" ht="15.75" customHeight="1">
      <c r="A377" s="14" t="s">
        <v>139</v>
      </c>
      <c r="B377" s="16" t="s">
        <v>140</v>
      </c>
      <c r="C377" s="16" t="s">
        <v>46</v>
      </c>
      <c r="D377" s="17" t="s">
        <v>575</v>
      </c>
      <c r="E377" s="15">
        <v>101.0</v>
      </c>
      <c r="F377" s="20" t="s">
        <v>142</v>
      </c>
    </row>
    <row r="378" ht="15.75" customHeight="1">
      <c r="A378" s="14" t="s">
        <v>139</v>
      </c>
      <c r="B378" s="16" t="s">
        <v>140</v>
      </c>
      <c r="C378" s="16" t="s">
        <v>46</v>
      </c>
      <c r="D378" s="17" t="s">
        <v>583</v>
      </c>
      <c r="E378" s="15">
        <v>78.0</v>
      </c>
      <c r="F378" s="20" t="s">
        <v>142</v>
      </c>
    </row>
    <row r="379" ht="15.75" customHeight="1">
      <c r="A379" s="14" t="s">
        <v>139</v>
      </c>
      <c r="B379" s="16" t="s">
        <v>140</v>
      </c>
      <c r="C379" s="16" t="s">
        <v>46</v>
      </c>
      <c r="D379" s="17" t="s">
        <v>603</v>
      </c>
      <c r="E379" s="15">
        <v>57.0</v>
      </c>
      <c r="F379" s="20" t="s">
        <v>142</v>
      </c>
    </row>
    <row r="380" ht="15.75" customHeight="1">
      <c r="A380" s="14" t="s">
        <v>139</v>
      </c>
      <c r="B380" s="16" t="s">
        <v>140</v>
      </c>
      <c r="C380" s="16" t="s">
        <v>114</v>
      </c>
      <c r="D380" s="17" t="s">
        <v>1563</v>
      </c>
      <c r="E380" s="15">
        <v>498.0</v>
      </c>
      <c r="F380" s="20" t="s">
        <v>142</v>
      </c>
    </row>
    <row r="381" ht="15.75" customHeight="1">
      <c r="A381" s="14" t="s">
        <v>139</v>
      </c>
      <c r="B381" s="16" t="s">
        <v>140</v>
      </c>
      <c r="C381" s="16" t="s">
        <v>114</v>
      </c>
      <c r="D381" s="17" t="s">
        <v>1569</v>
      </c>
      <c r="E381" s="15">
        <v>271.0</v>
      </c>
      <c r="F381" s="20" t="s">
        <v>142</v>
      </c>
    </row>
    <row r="382" ht="15.75" customHeight="1">
      <c r="A382" s="14" t="s">
        <v>139</v>
      </c>
      <c r="B382" s="16" t="s">
        <v>140</v>
      </c>
      <c r="C382" s="16" t="s">
        <v>114</v>
      </c>
      <c r="D382" s="17" t="s">
        <v>1574</v>
      </c>
      <c r="E382" s="15">
        <v>139.0</v>
      </c>
      <c r="F382" s="20" t="s">
        <v>142</v>
      </c>
    </row>
    <row r="383" ht="15.75" customHeight="1">
      <c r="A383" s="14" t="s">
        <v>139</v>
      </c>
      <c r="B383" s="16" t="s">
        <v>140</v>
      </c>
      <c r="C383" s="16" t="s">
        <v>114</v>
      </c>
      <c r="D383" s="17" t="s">
        <v>1581</v>
      </c>
      <c r="E383" s="15">
        <v>202.0</v>
      </c>
      <c r="F383" s="20" t="s">
        <v>142</v>
      </c>
    </row>
    <row r="384" ht="15.75" customHeight="1">
      <c r="A384" s="14" t="s">
        <v>139</v>
      </c>
      <c r="B384" s="16" t="s">
        <v>140</v>
      </c>
      <c r="C384" s="16" t="s">
        <v>114</v>
      </c>
      <c r="D384" s="17" t="s">
        <v>1583</v>
      </c>
      <c r="E384" s="15">
        <v>133.0</v>
      </c>
      <c r="F384" s="20" t="s">
        <v>142</v>
      </c>
    </row>
    <row r="385" ht="15.75" customHeight="1">
      <c r="A385" s="14" t="s">
        <v>139</v>
      </c>
      <c r="B385" s="16" t="s">
        <v>140</v>
      </c>
      <c r="C385" s="16" t="s">
        <v>114</v>
      </c>
      <c r="D385" s="17" t="s">
        <v>1585</v>
      </c>
      <c r="E385" s="15">
        <v>62.0</v>
      </c>
      <c r="F385" s="20" t="s">
        <v>142</v>
      </c>
    </row>
    <row r="386" ht="15.75" customHeight="1">
      <c r="A386" s="14" t="s">
        <v>139</v>
      </c>
      <c r="B386" s="16" t="s">
        <v>140</v>
      </c>
      <c r="C386" s="16" t="s">
        <v>114</v>
      </c>
      <c r="D386" s="17" t="s">
        <v>1586</v>
      </c>
      <c r="E386" s="15">
        <v>66.0</v>
      </c>
      <c r="F386" s="20" t="s">
        <v>142</v>
      </c>
    </row>
    <row r="387" ht="15.75" customHeight="1">
      <c r="A387" s="14" t="s">
        <v>139</v>
      </c>
      <c r="B387" s="16" t="s">
        <v>140</v>
      </c>
      <c r="C387" s="16" t="s">
        <v>114</v>
      </c>
      <c r="D387" s="17" t="s">
        <v>1589</v>
      </c>
      <c r="E387" s="15">
        <v>33.0</v>
      </c>
      <c r="F387" s="20" t="s">
        <v>142</v>
      </c>
    </row>
    <row r="388" ht="15.75" customHeight="1">
      <c r="A388" s="14" t="s">
        <v>139</v>
      </c>
      <c r="B388" s="16" t="s">
        <v>140</v>
      </c>
      <c r="C388" s="16" t="s">
        <v>114</v>
      </c>
      <c r="D388" s="17" t="s">
        <v>1592</v>
      </c>
      <c r="E388" s="15">
        <v>11.0</v>
      </c>
      <c r="F388" s="20" t="s">
        <v>142</v>
      </c>
    </row>
    <row r="389" ht="15.75" customHeight="1">
      <c r="A389" s="14" t="s">
        <v>139</v>
      </c>
      <c r="B389" s="16" t="s">
        <v>140</v>
      </c>
      <c r="C389" s="16" t="s">
        <v>114</v>
      </c>
      <c r="D389" s="17" t="s">
        <v>1593</v>
      </c>
      <c r="E389" s="15">
        <v>15.0</v>
      </c>
      <c r="F389" s="20" t="s">
        <v>142</v>
      </c>
    </row>
    <row r="390" ht="15.75" customHeight="1">
      <c r="A390" s="14" t="s">
        <v>139</v>
      </c>
      <c r="B390" s="16" t="s">
        <v>140</v>
      </c>
      <c r="C390" s="16" t="s">
        <v>114</v>
      </c>
      <c r="D390" s="17" t="s">
        <v>1596</v>
      </c>
      <c r="E390" s="15">
        <v>12.0</v>
      </c>
      <c r="F390" s="20" t="s">
        <v>142</v>
      </c>
    </row>
    <row r="391" ht="15.75" customHeight="1">
      <c r="A391" s="14" t="s">
        <v>139</v>
      </c>
      <c r="B391" s="16" t="s">
        <v>140</v>
      </c>
      <c r="C391" s="16" t="s">
        <v>114</v>
      </c>
      <c r="D391" s="17" t="s">
        <v>1599</v>
      </c>
      <c r="E391" s="15">
        <v>3.0</v>
      </c>
      <c r="F391" s="20" t="s">
        <v>142</v>
      </c>
    </row>
    <row r="392" ht="15.75" customHeight="1">
      <c r="A392" s="14" t="s">
        <v>139</v>
      </c>
      <c r="B392" s="16" t="s">
        <v>140</v>
      </c>
      <c r="C392" s="16" t="s">
        <v>114</v>
      </c>
      <c r="D392" s="17" t="s">
        <v>1603</v>
      </c>
      <c r="E392" s="15">
        <v>9.0</v>
      </c>
      <c r="F392" s="20" t="s">
        <v>142</v>
      </c>
    </row>
    <row r="393" ht="15.75" customHeight="1">
      <c r="A393" s="14" t="s">
        <v>139</v>
      </c>
      <c r="B393" s="16" t="s">
        <v>140</v>
      </c>
      <c r="C393" s="16" t="s">
        <v>114</v>
      </c>
      <c r="D393" s="17" t="s">
        <v>1606</v>
      </c>
      <c r="E393" s="15">
        <v>2.0</v>
      </c>
      <c r="F393" s="20" t="s">
        <v>142</v>
      </c>
    </row>
    <row r="394" ht="15.75" customHeight="1">
      <c r="A394" s="14" t="s">
        <v>139</v>
      </c>
      <c r="B394" s="16" t="s">
        <v>140</v>
      </c>
      <c r="C394" s="16" t="s">
        <v>114</v>
      </c>
      <c r="D394" s="17" t="s">
        <v>1608</v>
      </c>
      <c r="E394" s="15">
        <v>6.0</v>
      </c>
      <c r="F394" s="20" t="s">
        <v>142</v>
      </c>
    </row>
    <row r="395" ht="15.75" customHeight="1">
      <c r="A395" s="14" t="s">
        <v>139</v>
      </c>
      <c r="B395" s="16" t="s">
        <v>140</v>
      </c>
      <c r="C395" s="16" t="s">
        <v>97</v>
      </c>
      <c r="D395" s="17" t="s">
        <v>1610</v>
      </c>
      <c r="E395" s="15">
        <v>143.0</v>
      </c>
      <c r="F395" s="20" t="s">
        <v>142</v>
      </c>
    </row>
    <row r="396" ht="15.75" customHeight="1">
      <c r="A396" s="14" t="s">
        <v>139</v>
      </c>
      <c r="B396" s="16" t="s">
        <v>140</v>
      </c>
      <c r="C396" s="16" t="s">
        <v>97</v>
      </c>
      <c r="D396" s="17" t="s">
        <v>1612</v>
      </c>
      <c r="E396" s="15">
        <v>5.0</v>
      </c>
      <c r="F396" s="20" t="s">
        <v>142</v>
      </c>
    </row>
    <row r="397" ht="15.75" customHeight="1">
      <c r="A397" s="14" t="s">
        <v>139</v>
      </c>
      <c r="B397" s="16" t="s">
        <v>140</v>
      </c>
      <c r="C397" s="16" t="s">
        <v>97</v>
      </c>
      <c r="D397" s="17" t="s">
        <v>1614</v>
      </c>
      <c r="E397" s="15">
        <v>69.0</v>
      </c>
      <c r="F397" s="20" t="s">
        <v>142</v>
      </c>
    </row>
    <row r="398" ht="15.75" customHeight="1">
      <c r="A398" s="14" t="s">
        <v>139</v>
      </c>
      <c r="B398" s="16" t="s">
        <v>140</v>
      </c>
      <c r="C398" s="16" t="s">
        <v>97</v>
      </c>
      <c r="D398" s="17" t="s">
        <v>1616</v>
      </c>
      <c r="E398" s="15">
        <v>3.0</v>
      </c>
      <c r="F398" s="20" t="s">
        <v>142</v>
      </c>
    </row>
    <row r="399" ht="15.75" customHeight="1">
      <c r="A399" s="14" t="s">
        <v>139</v>
      </c>
      <c r="B399" s="16" t="s">
        <v>140</v>
      </c>
      <c r="C399" s="16" t="s">
        <v>97</v>
      </c>
      <c r="D399" s="17" t="s">
        <v>1619</v>
      </c>
      <c r="E399" s="15">
        <v>1.0</v>
      </c>
      <c r="F399" s="20" t="s">
        <v>142</v>
      </c>
    </row>
    <row r="400" ht="15.75" customHeight="1">
      <c r="A400" s="14" t="s">
        <v>139</v>
      </c>
      <c r="B400" s="16" t="s">
        <v>140</v>
      </c>
      <c r="C400" s="16" t="s">
        <v>97</v>
      </c>
      <c r="D400" s="17" t="s">
        <v>1620</v>
      </c>
      <c r="E400" s="15">
        <v>1.0</v>
      </c>
      <c r="F400" s="20" t="s">
        <v>142</v>
      </c>
    </row>
    <row r="401" ht="15.75" customHeight="1">
      <c r="A401" s="14" t="s">
        <v>139</v>
      </c>
      <c r="B401" s="16" t="s">
        <v>140</v>
      </c>
      <c r="C401" s="16" t="s">
        <v>97</v>
      </c>
      <c r="D401" s="17" t="s">
        <v>1622</v>
      </c>
      <c r="E401" s="15">
        <v>6.0</v>
      </c>
      <c r="F401" s="20" t="s">
        <v>142</v>
      </c>
    </row>
    <row r="402" ht="15.75" customHeight="1">
      <c r="A402" s="14" t="s">
        <v>139</v>
      </c>
      <c r="B402" s="16" t="s">
        <v>140</v>
      </c>
      <c r="C402" s="16" t="s">
        <v>97</v>
      </c>
      <c r="D402" s="17" t="s">
        <v>1624</v>
      </c>
      <c r="E402" s="15">
        <v>1.0</v>
      </c>
      <c r="F402" s="20" t="s">
        <v>142</v>
      </c>
    </row>
    <row r="403" ht="15.75" customHeight="1">
      <c r="A403" s="14" t="s">
        <v>139</v>
      </c>
      <c r="B403" s="16" t="s">
        <v>140</v>
      </c>
      <c r="C403" s="16" t="s">
        <v>97</v>
      </c>
      <c r="D403" s="17" t="s">
        <v>1632</v>
      </c>
      <c r="E403" s="15">
        <v>1.0</v>
      </c>
      <c r="F403" s="20" t="s">
        <v>142</v>
      </c>
    </row>
    <row r="404" ht="15.75" customHeight="1">
      <c r="A404" s="14" t="s">
        <v>139</v>
      </c>
      <c r="B404" s="16" t="s">
        <v>140</v>
      </c>
      <c r="C404" s="16" t="s">
        <v>97</v>
      </c>
      <c r="D404" s="17" t="s">
        <v>1638</v>
      </c>
      <c r="E404" s="15">
        <v>2.0</v>
      </c>
      <c r="F404" s="20" t="s">
        <v>142</v>
      </c>
    </row>
    <row r="405" ht="15.75" customHeight="1">
      <c r="A405" s="14" t="s">
        <v>139</v>
      </c>
      <c r="B405" s="16" t="s">
        <v>140</v>
      </c>
      <c r="C405" s="16" t="s">
        <v>97</v>
      </c>
      <c r="D405" s="17" t="s">
        <v>1643</v>
      </c>
      <c r="E405" s="15">
        <v>1.0</v>
      </c>
      <c r="F405" s="20" t="s">
        <v>142</v>
      </c>
    </row>
    <row r="406" ht="15.75" customHeight="1">
      <c r="A406" s="14" t="s">
        <v>139</v>
      </c>
      <c r="B406" s="16" t="s">
        <v>140</v>
      </c>
      <c r="C406" s="16" t="s">
        <v>97</v>
      </c>
      <c r="D406" s="17" t="s">
        <v>1649</v>
      </c>
      <c r="E406" s="15">
        <v>4.0</v>
      </c>
      <c r="F406" s="20" t="s">
        <v>142</v>
      </c>
    </row>
    <row r="407" ht="15.75" customHeight="1">
      <c r="A407" s="14" t="s">
        <v>139</v>
      </c>
      <c r="B407" s="16" t="s">
        <v>140</v>
      </c>
      <c r="C407" s="16" t="s">
        <v>97</v>
      </c>
      <c r="D407" s="17" t="s">
        <v>1655</v>
      </c>
      <c r="E407" s="15">
        <v>1.0</v>
      </c>
      <c r="F407" s="20" t="s">
        <v>142</v>
      </c>
    </row>
    <row r="408" ht="15.75" customHeight="1">
      <c r="A408" s="14" t="s">
        <v>139</v>
      </c>
      <c r="B408" s="16" t="s">
        <v>140</v>
      </c>
      <c r="C408" s="16" t="s">
        <v>97</v>
      </c>
      <c r="D408" s="17" t="s">
        <v>1659</v>
      </c>
      <c r="E408" s="15">
        <v>1.0</v>
      </c>
      <c r="F408" s="20" t="s">
        <v>142</v>
      </c>
    </row>
    <row r="409" ht="15.75" customHeight="1">
      <c r="A409" s="14" t="s">
        <v>139</v>
      </c>
      <c r="B409" s="16" t="s">
        <v>140</v>
      </c>
      <c r="C409" s="16" t="s">
        <v>97</v>
      </c>
      <c r="D409" s="17" t="s">
        <v>1665</v>
      </c>
      <c r="E409" s="15">
        <v>1.0</v>
      </c>
      <c r="F409" s="20" t="s">
        <v>142</v>
      </c>
    </row>
    <row r="410" ht="15.75" customHeight="1">
      <c r="A410" s="14" t="s">
        <v>139</v>
      </c>
      <c r="B410" s="16" t="s">
        <v>140</v>
      </c>
      <c r="C410" s="16" t="s">
        <v>97</v>
      </c>
      <c r="D410" s="17" t="s">
        <v>1204</v>
      </c>
      <c r="E410" s="15">
        <v>1.0</v>
      </c>
      <c r="F410" s="20" t="s">
        <v>142</v>
      </c>
    </row>
    <row r="411" ht="15.75" customHeight="1">
      <c r="A411" s="14" t="s">
        <v>139</v>
      </c>
      <c r="B411" s="16" t="s">
        <v>140</v>
      </c>
      <c r="C411" s="16" t="s">
        <v>97</v>
      </c>
      <c r="D411" s="17" t="s">
        <v>845</v>
      </c>
      <c r="E411" s="15">
        <v>1616.0</v>
      </c>
      <c r="F411" s="20" t="s">
        <v>142</v>
      </c>
    </row>
    <row r="412" ht="15.75" customHeight="1">
      <c r="A412" s="14" t="s">
        <v>139</v>
      </c>
      <c r="B412" s="16" t="s">
        <v>140</v>
      </c>
      <c r="C412" s="16" t="s">
        <v>97</v>
      </c>
      <c r="D412" s="17" t="s">
        <v>849</v>
      </c>
      <c r="E412" s="15">
        <v>629.0</v>
      </c>
      <c r="F412" s="20" t="s">
        <v>142</v>
      </c>
    </row>
    <row r="413" ht="15.75" customHeight="1">
      <c r="A413" s="14" t="s">
        <v>139</v>
      </c>
      <c r="B413" s="16" t="s">
        <v>140</v>
      </c>
      <c r="C413" s="16" t="s">
        <v>97</v>
      </c>
      <c r="D413" s="17" t="s">
        <v>1049</v>
      </c>
      <c r="E413" s="15">
        <v>333.0</v>
      </c>
      <c r="F413" s="20" t="s">
        <v>142</v>
      </c>
    </row>
    <row r="414" ht="15.75" customHeight="1">
      <c r="A414" s="14" t="s">
        <v>139</v>
      </c>
      <c r="B414" s="16" t="s">
        <v>140</v>
      </c>
      <c r="C414" s="16" t="s">
        <v>97</v>
      </c>
      <c r="D414" s="17" t="s">
        <v>1081</v>
      </c>
      <c r="E414" s="15">
        <v>164.0</v>
      </c>
      <c r="F414" s="20" t="s">
        <v>142</v>
      </c>
    </row>
    <row r="415" ht="15.75" customHeight="1">
      <c r="A415" s="14" t="s">
        <v>139</v>
      </c>
      <c r="B415" s="16" t="s">
        <v>140</v>
      </c>
      <c r="C415" s="16" t="s">
        <v>97</v>
      </c>
      <c r="D415" s="17" t="s">
        <v>1108</v>
      </c>
      <c r="E415" s="15">
        <v>84.0</v>
      </c>
      <c r="F415" s="20" t="s">
        <v>142</v>
      </c>
    </row>
    <row r="416" ht="15.75" customHeight="1">
      <c r="A416" s="14" t="s">
        <v>139</v>
      </c>
      <c r="B416" s="16" t="s">
        <v>140</v>
      </c>
      <c r="C416" s="16" t="s">
        <v>97</v>
      </c>
      <c r="D416" s="17" t="s">
        <v>1116</v>
      </c>
      <c r="E416" s="15">
        <v>31.0</v>
      </c>
      <c r="F416" s="20" t="s">
        <v>142</v>
      </c>
    </row>
    <row r="417" ht="15.75" customHeight="1">
      <c r="A417" s="14" t="s">
        <v>139</v>
      </c>
      <c r="B417" s="16" t="s">
        <v>140</v>
      </c>
      <c r="C417" s="16" t="s">
        <v>97</v>
      </c>
      <c r="D417" s="17" t="s">
        <v>1127</v>
      </c>
      <c r="E417" s="15">
        <v>20.0</v>
      </c>
      <c r="F417" s="20" t="s">
        <v>142</v>
      </c>
    </row>
    <row r="418" ht="15.75" customHeight="1">
      <c r="A418" s="14" t="s">
        <v>139</v>
      </c>
      <c r="B418" s="16" t="s">
        <v>140</v>
      </c>
      <c r="C418" s="16" t="s">
        <v>97</v>
      </c>
      <c r="D418" s="17" t="s">
        <v>1140</v>
      </c>
      <c r="E418" s="15">
        <v>9.0</v>
      </c>
      <c r="F418" s="20" t="s">
        <v>142</v>
      </c>
    </row>
    <row r="419" ht="15.75" customHeight="1">
      <c r="A419" s="14" t="s">
        <v>139</v>
      </c>
      <c r="B419" s="16" t="s">
        <v>140</v>
      </c>
      <c r="C419" s="16" t="s">
        <v>97</v>
      </c>
      <c r="D419" s="17" t="s">
        <v>852</v>
      </c>
      <c r="E419" s="15">
        <v>1.0</v>
      </c>
      <c r="F419" s="20" t="s">
        <v>142</v>
      </c>
    </row>
    <row r="420" ht="15.75" customHeight="1">
      <c r="A420" s="14" t="s">
        <v>139</v>
      </c>
      <c r="B420" s="16" t="s">
        <v>140</v>
      </c>
      <c r="C420" s="16" t="s">
        <v>97</v>
      </c>
      <c r="D420" s="17" t="s">
        <v>855</v>
      </c>
      <c r="E420" s="15">
        <v>1100.0</v>
      </c>
      <c r="F420" s="20" t="s">
        <v>142</v>
      </c>
    </row>
    <row r="421" ht="15.75" customHeight="1">
      <c r="A421" s="14" t="s">
        <v>139</v>
      </c>
      <c r="B421" s="16" t="s">
        <v>140</v>
      </c>
      <c r="C421" s="16" t="s">
        <v>97</v>
      </c>
      <c r="D421" s="17" t="s">
        <v>860</v>
      </c>
      <c r="E421" s="15">
        <v>308.0</v>
      </c>
      <c r="F421" s="20" t="s">
        <v>142</v>
      </c>
    </row>
    <row r="422" ht="15.75" customHeight="1">
      <c r="A422" s="14" t="s">
        <v>139</v>
      </c>
      <c r="B422" s="16" t="s">
        <v>140</v>
      </c>
      <c r="C422" s="16" t="s">
        <v>97</v>
      </c>
      <c r="D422" s="17" t="s">
        <v>870</v>
      </c>
      <c r="E422" s="15">
        <v>171.0</v>
      </c>
      <c r="F422" s="20" t="s">
        <v>142</v>
      </c>
    </row>
    <row r="423" ht="15.75" customHeight="1">
      <c r="A423" s="14" t="s">
        <v>139</v>
      </c>
      <c r="B423" s="16" t="s">
        <v>140</v>
      </c>
      <c r="C423" s="16" t="s">
        <v>97</v>
      </c>
      <c r="D423" s="17" t="s">
        <v>874</v>
      </c>
      <c r="E423" s="15">
        <v>84.0</v>
      </c>
      <c r="F423" s="20" t="s">
        <v>142</v>
      </c>
    </row>
    <row r="424" ht="15.75" customHeight="1">
      <c r="A424" s="14" t="s">
        <v>139</v>
      </c>
      <c r="B424" s="16" t="s">
        <v>140</v>
      </c>
      <c r="C424" s="16" t="s">
        <v>97</v>
      </c>
      <c r="D424" s="17" t="s">
        <v>876</v>
      </c>
      <c r="E424" s="15">
        <v>48.0</v>
      </c>
      <c r="F424" s="20" t="s">
        <v>142</v>
      </c>
    </row>
    <row r="425" ht="15.75" customHeight="1">
      <c r="A425" s="14" t="s">
        <v>139</v>
      </c>
      <c r="B425" s="16" t="s">
        <v>140</v>
      </c>
      <c r="C425" s="16" t="s">
        <v>97</v>
      </c>
      <c r="D425" s="17" t="s">
        <v>1448</v>
      </c>
      <c r="E425" s="15">
        <v>8.0</v>
      </c>
      <c r="F425" s="20" t="s">
        <v>142</v>
      </c>
    </row>
    <row r="426" ht="15.75" customHeight="1">
      <c r="A426" s="14" t="s">
        <v>139</v>
      </c>
      <c r="B426" s="16" t="s">
        <v>140</v>
      </c>
      <c r="C426" s="16" t="s">
        <v>97</v>
      </c>
      <c r="D426" s="17" t="s">
        <v>1481</v>
      </c>
      <c r="E426" s="15">
        <v>3.0</v>
      </c>
      <c r="F426" s="20" t="s">
        <v>142</v>
      </c>
    </row>
    <row r="427" ht="15.75" customHeight="1">
      <c r="A427" s="14" t="s">
        <v>139</v>
      </c>
      <c r="B427" s="16" t="s">
        <v>140</v>
      </c>
      <c r="C427" s="16" t="s">
        <v>97</v>
      </c>
      <c r="D427" s="17" t="s">
        <v>1496</v>
      </c>
      <c r="E427" s="15">
        <v>6.0</v>
      </c>
      <c r="F427" s="20" t="s">
        <v>142</v>
      </c>
    </row>
    <row r="428" ht="15.75" customHeight="1">
      <c r="A428" s="14" t="s">
        <v>139</v>
      </c>
      <c r="B428" s="16" t="s">
        <v>140</v>
      </c>
      <c r="C428" s="16" t="s">
        <v>97</v>
      </c>
      <c r="D428" s="17" t="s">
        <v>1503</v>
      </c>
      <c r="E428" s="15">
        <v>2.0</v>
      </c>
      <c r="F428" s="20" t="s">
        <v>142</v>
      </c>
    </row>
    <row r="429" ht="15.75" customHeight="1">
      <c r="A429" s="14" t="s">
        <v>139</v>
      </c>
      <c r="B429" s="16" t="s">
        <v>140</v>
      </c>
      <c r="C429" s="16" t="s">
        <v>97</v>
      </c>
      <c r="D429" s="17" t="s">
        <v>881</v>
      </c>
      <c r="E429" s="15">
        <v>1.0</v>
      </c>
      <c r="F429" s="20" t="s">
        <v>142</v>
      </c>
    </row>
    <row r="430" ht="15.75" customHeight="1">
      <c r="A430" s="14" t="s">
        <v>139</v>
      </c>
      <c r="B430" s="16" t="s">
        <v>140</v>
      </c>
      <c r="C430" s="16" t="s">
        <v>97</v>
      </c>
      <c r="D430" s="17" t="s">
        <v>1685</v>
      </c>
      <c r="E430" s="15">
        <v>1.0</v>
      </c>
      <c r="F430" s="20" t="s">
        <v>142</v>
      </c>
    </row>
    <row r="431" ht="15.75" customHeight="1">
      <c r="A431" s="14" t="s">
        <v>139</v>
      </c>
      <c r="B431" s="16" t="s">
        <v>140</v>
      </c>
      <c r="C431" s="16" t="s">
        <v>97</v>
      </c>
      <c r="D431" s="17" t="s">
        <v>885</v>
      </c>
      <c r="E431" s="15">
        <v>670.0</v>
      </c>
      <c r="F431" s="20" t="s">
        <v>142</v>
      </c>
    </row>
    <row r="432" ht="15.75" customHeight="1">
      <c r="A432" s="14" t="s">
        <v>139</v>
      </c>
      <c r="B432" s="16" t="s">
        <v>140</v>
      </c>
      <c r="C432" s="16" t="s">
        <v>97</v>
      </c>
      <c r="D432" s="17" t="s">
        <v>889</v>
      </c>
      <c r="E432" s="15">
        <v>124.0</v>
      </c>
      <c r="F432" s="20" t="s">
        <v>142</v>
      </c>
    </row>
    <row r="433" ht="15.75" customHeight="1">
      <c r="A433" s="14" t="s">
        <v>139</v>
      </c>
      <c r="B433" s="16" t="s">
        <v>140</v>
      </c>
      <c r="C433" s="16" t="s">
        <v>97</v>
      </c>
      <c r="D433" s="17" t="s">
        <v>1669</v>
      </c>
      <c r="E433" s="15">
        <v>71.0</v>
      </c>
      <c r="F433" s="20" t="s">
        <v>142</v>
      </c>
    </row>
    <row r="434" ht="15.75" customHeight="1">
      <c r="A434" s="14" t="s">
        <v>139</v>
      </c>
      <c r="B434" s="16" t="s">
        <v>140</v>
      </c>
      <c r="C434" s="16" t="s">
        <v>97</v>
      </c>
      <c r="D434" s="17" t="s">
        <v>892</v>
      </c>
      <c r="E434" s="15">
        <v>40.0</v>
      </c>
      <c r="F434" s="20" t="s">
        <v>142</v>
      </c>
    </row>
    <row r="435" ht="15.75" customHeight="1">
      <c r="A435" s="14" t="s">
        <v>139</v>
      </c>
      <c r="B435" s="16" t="s">
        <v>140</v>
      </c>
      <c r="C435" s="16" t="s">
        <v>97</v>
      </c>
      <c r="D435" s="17" t="s">
        <v>896</v>
      </c>
      <c r="E435" s="15">
        <v>32.0</v>
      </c>
      <c r="F435" s="20" t="s">
        <v>142</v>
      </c>
    </row>
    <row r="436" ht="15.75" customHeight="1">
      <c r="A436" s="14" t="s">
        <v>139</v>
      </c>
      <c r="B436" s="16" t="s">
        <v>140</v>
      </c>
      <c r="C436" s="16" t="s">
        <v>97</v>
      </c>
      <c r="D436" s="17" t="s">
        <v>1687</v>
      </c>
      <c r="E436" s="15">
        <v>7.0</v>
      </c>
      <c r="F436" s="20" t="s">
        <v>142</v>
      </c>
    </row>
    <row r="437" ht="15.75" customHeight="1">
      <c r="A437" s="14" t="s">
        <v>139</v>
      </c>
      <c r="B437" s="16" t="s">
        <v>140</v>
      </c>
      <c r="C437" s="16" t="s">
        <v>97</v>
      </c>
      <c r="D437" s="17" t="s">
        <v>1720</v>
      </c>
      <c r="E437" s="15">
        <v>3.0</v>
      </c>
      <c r="F437" s="20" t="s">
        <v>142</v>
      </c>
    </row>
    <row r="438" ht="15.75" customHeight="1">
      <c r="A438" s="14" t="s">
        <v>139</v>
      </c>
      <c r="B438" s="16" t="s">
        <v>140</v>
      </c>
      <c r="C438" s="16" t="s">
        <v>97</v>
      </c>
      <c r="D438" s="17" t="s">
        <v>1724</v>
      </c>
      <c r="E438" s="15">
        <v>3.0</v>
      </c>
      <c r="F438" s="20" t="s">
        <v>142</v>
      </c>
    </row>
    <row r="439" ht="15.75" customHeight="1">
      <c r="A439" s="14" t="s">
        <v>139</v>
      </c>
      <c r="B439" s="16" t="s">
        <v>140</v>
      </c>
      <c r="C439" s="16" t="s">
        <v>97</v>
      </c>
      <c r="D439" s="17" t="s">
        <v>899</v>
      </c>
      <c r="E439" s="15">
        <v>351.0</v>
      </c>
      <c r="F439" s="20" t="s">
        <v>142</v>
      </c>
    </row>
    <row r="440" ht="15.75" customHeight="1">
      <c r="A440" s="14" t="s">
        <v>139</v>
      </c>
      <c r="B440" s="16" t="s">
        <v>140</v>
      </c>
      <c r="C440" s="16" t="s">
        <v>97</v>
      </c>
      <c r="D440" s="17" t="s">
        <v>1727</v>
      </c>
      <c r="E440" s="15">
        <v>52.0</v>
      </c>
      <c r="F440" s="20" t="s">
        <v>142</v>
      </c>
    </row>
    <row r="441" ht="15.75" customHeight="1">
      <c r="A441" s="14" t="s">
        <v>139</v>
      </c>
      <c r="B441" s="16" t="s">
        <v>140</v>
      </c>
      <c r="C441" s="16" t="s">
        <v>97</v>
      </c>
      <c r="D441" s="17" t="s">
        <v>1728</v>
      </c>
      <c r="E441" s="15">
        <v>21.0</v>
      </c>
      <c r="F441" s="20" t="s">
        <v>142</v>
      </c>
    </row>
    <row r="442" ht="15.75" customHeight="1">
      <c r="A442" s="14" t="s">
        <v>139</v>
      </c>
      <c r="B442" s="16" t="s">
        <v>140</v>
      </c>
      <c r="C442" s="16" t="s">
        <v>97</v>
      </c>
      <c r="D442" s="17" t="s">
        <v>1731</v>
      </c>
      <c r="E442" s="15">
        <v>10.0</v>
      </c>
      <c r="F442" s="20" t="s">
        <v>142</v>
      </c>
    </row>
    <row r="443" ht="15.75" customHeight="1">
      <c r="A443" s="14" t="s">
        <v>139</v>
      </c>
      <c r="B443" s="16" t="s">
        <v>140</v>
      </c>
      <c r="C443" s="16" t="s">
        <v>97</v>
      </c>
      <c r="D443" s="17" t="s">
        <v>1735</v>
      </c>
      <c r="E443" s="15">
        <v>5.0</v>
      </c>
      <c r="F443" s="20" t="s">
        <v>142</v>
      </c>
    </row>
    <row r="444" ht="15.75" customHeight="1">
      <c r="A444" s="14" t="s">
        <v>139</v>
      </c>
      <c r="B444" s="16" t="s">
        <v>140</v>
      </c>
      <c r="C444" s="16" t="s">
        <v>97</v>
      </c>
      <c r="D444" s="17" t="s">
        <v>1738</v>
      </c>
      <c r="E444" s="15">
        <v>1.0</v>
      </c>
      <c r="F444" s="20" t="s">
        <v>142</v>
      </c>
    </row>
    <row r="445" ht="15.75" customHeight="1">
      <c r="A445" s="14" t="s">
        <v>139</v>
      </c>
      <c r="B445" s="16" t="s">
        <v>140</v>
      </c>
      <c r="C445" s="16" t="s">
        <v>97</v>
      </c>
      <c r="D445" s="17" t="s">
        <v>1741</v>
      </c>
      <c r="E445" s="15">
        <v>1.0</v>
      </c>
      <c r="F445" s="20" t="s">
        <v>142</v>
      </c>
    </row>
    <row r="446" ht="15.75" customHeight="1">
      <c r="A446" s="14" t="s">
        <v>139</v>
      </c>
      <c r="B446" s="16" t="s">
        <v>140</v>
      </c>
      <c r="C446" s="16" t="s">
        <v>97</v>
      </c>
      <c r="D446" s="17" t="s">
        <v>904</v>
      </c>
      <c r="E446" s="15">
        <v>3.0</v>
      </c>
      <c r="F446" s="20" t="s">
        <v>142</v>
      </c>
    </row>
    <row r="447" ht="15.75" customHeight="1">
      <c r="A447" s="14" t="s">
        <v>139</v>
      </c>
      <c r="B447" s="16" t="s">
        <v>140</v>
      </c>
      <c r="C447" s="16" t="s">
        <v>97</v>
      </c>
      <c r="D447" s="17" t="s">
        <v>908</v>
      </c>
      <c r="E447" s="15">
        <v>269.0</v>
      </c>
      <c r="F447" s="20" t="s">
        <v>142</v>
      </c>
    </row>
    <row r="448" ht="15.75" customHeight="1">
      <c r="A448" s="14" t="s">
        <v>139</v>
      </c>
      <c r="B448" s="16" t="s">
        <v>140</v>
      </c>
      <c r="C448" s="16" t="s">
        <v>97</v>
      </c>
      <c r="D448" s="17" t="s">
        <v>913</v>
      </c>
      <c r="E448" s="15">
        <v>26.0</v>
      </c>
      <c r="F448" s="20" t="s">
        <v>142</v>
      </c>
    </row>
    <row r="449" ht="15.75" customHeight="1">
      <c r="A449" s="14" t="s">
        <v>139</v>
      </c>
      <c r="B449" s="16" t="s">
        <v>140</v>
      </c>
      <c r="C449" s="16" t="s">
        <v>97</v>
      </c>
      <c r="D449" s="17" t="s">
        <v>1748</v>
      </c>
      <c r="E449" s="15">
        <v>19.0</v>
      </c>
      <c r="F449" s="20" t="s">
        <v>142</v>
      </c>
    </row>
    <row r="450" ht="15.75" customHeight="1">
      <c r="A450" s="14" t="s">
        <v>139</v>
      </c>
      <c r="B450" s="16" t="s">
        <v>140</v>
      </c>
      <c r="C450" s="16" t="s">
        <v>97</v>
      </c>
      <c r="D450" s="17" t="s">
        <v>1750</v>
      </c>
      <c r="E450" s="15">
        <v>11.0</v>
      </c>
      <c r="F450" s="20" t="s">
        <v>142</v>
      </c>
    </row>
    <row r="451" ht="15.75" customHeight="1">
      <c r="A451" s="14" t="s">
        <v>139</v>
      </c>
      <c r="B451" s="16" t="s">
        <v>140</v>
      </c>
      <c r="C451" s="16" t="s">
        <v>97</v>
      </c>
      <c r="D451" s="17" t="s">
        <v>1751</v>
      </c>
      <c r="E451" s="15">
        <v>7.0</v>
      </c>
      <c r="F451" s="20" t="s">
        <v>142</v>
      </c>
    </row>
    <row r="452" ht="15.75" customHeight="1">
      <c r="A452" s="14" t="s">
        <v>139</v>
      </c>
      <c r="B452" s="16" t="s">
        <v>140</v>
      </c>
      <c r="C452" s="16" t="s">
        <v>97</v>
      </c>
      <c r="D452" s="17" t="s">
        <v>1755</v>
      </c>
      <c r="E452" s="15">
        <v>2.0</v>
      </c>
      <c r="F452" s="20" t="s">
        <v>142</v>
      </c>
    </row>
    <row r="453" ht="15.75" customHeight="1">
      <c r="A453" s="14" t="s">
        <v>139</v>
      </c>
      <c r="B453" s="16" t="s">
        <v>140</v>
      </c>
      <c r="C453" s="16" t="s">
        <v>97</v>
      </c>
      <c r="D453" s="17" t="s">
        <v>917</v>
      </c>
      <c r="E453" s="15">
        <v>199.0</v>
      </c>
      <c r="F453" s="20" t="s">
        <v>142</v>
      </c>
    </row>
    <row r="454" ht="15.75" customHeight="1">
      <c r="A454" s="14" t="s">
        <v>139</v>
      </c>
      <c r="B454" s="16" t="s">
        <v>140</v>
      </c>
      <c r="C454" s="16" t="s">
        <v>97</v>
      </c>
      <c r="D454" s="17" t="s">
        <v>920</v>
      </c>
      <c r="E454" s="15">
        <v>6.0</v>
      </c>
      <c r="F454" s="20" t="s">
        <v>142</v>
      </c>
    </row>
    <row r="455" ht="15.75" customHeight="1">
      <c r="A455" s="14" t="s">
        <v>139</v>
      </c>
      <c r="B455" s="16" t="s">
        <v>140</v>
      </c>
      <c r="C455" s="16" t="s">
        <v>97</v>
      </c>
      <c r="D455" s="17" t="s">
        <v>1758</v>
      </c>
      <c r="E455" s="15">
        <v>3.0</v>
      </c>
      <c r="F455" s="20" t="s">
        <v>142</v>
      </c>
    </row>
    <row r="456" ht="15.75" customHeight="1">
      <c r="A456" s="14" t="s">
        <v>139</v>
      </c>
      <c r="B456" s="16" t="s">
        <v>140</v>
      </c>
      <c r="C456" s="16" t="s">
        <v>97</v>
      </c>
      <c r="D456" s="17" t="s">
        <v>1761</v>
      </c>
      <c r="E456" s="15">
        <v>2.0</v>
      </c>
      <c r="F456" s="20" t="s">
        <v>142</v>
      </c>
    </row>
    <row r="457" ht="15.75" customHeight="1">
      <c r="A457" s="14" t="s">
        <v>139</v>
      </c>
      <c r="B457" s="16" t="s">
        <v>140</v>
      </c>
      <c r="C457" s="16" t="s">
        <v>97</v>
      </c>
      <c r="D457" s="17" t="s">
        <v>923</v>
      </c>
      <c r="E457" s="15">
        <v>200.0</v>
      </c>
      <c r="F457" s="20" t="s">
        <v>142</v>
      </c>
    </row>
    <row r="458" ht="15.75" customHeight="1">
      <c r="A458" s="14" t="s">
        <v>139</v>
      </c>
      <c r="B458" s="16" t="s">
        <v>140</v>
      </c>
      <c r="C458" s="16" t="s">
        <v>97</v>
      </c>
      <c r="D458" s="17" t="s">
        <v>1764</v>
      </c>
      <c r="E458" s="15">
        <v>6.0</v>
      </c>
      <c r="F458" s="20" t="s">
        <v>142</v>
      </c>
    </row>
    <row r="459" ht="15.75" customHeight="1">
      <c r="A459" s="14" t="s">
        <v>139</v>
      </c>
      <c r="B459" s="16" t="s">
        <v>140</v>
      </c>
      <c r="C459" s="16" t="s">
        <v>97</v>
      </c>
      <c r="D459" s="17" t="s">
        <v>1765</v>
      </c>
      <c r="E459" s="15">
        <v>2.0</v>
      </c>
      <c r="F459" s="20" t="s">
        <v>142</v>
      </c>
    </row>
    <row r="460" ht="15.75" customHeight="1">
      <c r="A460" s="14" t="s">
        <v>139</v>
      </c>
      <c r="B460" s="16" t="s">
        <v>140</v>
      </c>
      <c r="C460" s="16" t="s">
        <v>97</v>
      </c>
      <c r="D460" s="17" t="s">
        <v>1768</v>
      </c>
      <c r="E460" s="15">
        <v>1.0</v>
      </c>
      <c r="F460" s="20" t="s">
        <v>142</v>
      </c>
    </row>
    <row r="461" ht="15.75" customHeight="1">
      <c r="A461" s="14" t="s">
        <v>139</v>
      </c>
      <c r="B461" s="16" t="s">
        <v>140</v>
      </c>
      <c r="C461" s="16" t="s">
        <v>97</v>
      </c>
      <c r="D461" s="17" t="s">
        <v>1769</v>
      </c>
      <c r="E461" s="15">
        <v>2.0</v>
      </c>
      <c r="F461" s="20" t="s">
        <v>142</v>
      </c>
    </row>
    <row r="462" ht="15.75" customHeight="1">
      <c r="A462" s="14" t="s">
        <v>139</v>
      </c>
      <c r="B462" s="16" t="s">
        <v>140</v>
      </c>
      <c r="C462" s="16" t="s">
        <v>97</v>
      </c>
      <c r="D462" s="17" t="s">
        <v>1772</v>
      </c>
      <c r="E462" s="15">
        <v>1.0</v>
      </c>
      <c r="F462" s="20" t="s">
        <v>142</v>
      </c>
    </row>
    <row r="463" ht="15.75" customHeight="1">
      <c r="A463" s="14" t="s">
        <v>139</v>
      </c>
      <c r="B463" s="16" t="s">
        <v>140</v>
      </c>
      <c r="C463" s="16" t="s">
        <v>97</v>
      </c>
      <c r="D463" s="17" t="s">
        <v>1775</v>
      </c>
      <c r="E463" s="15">
        <v>1.0</v>
      </c>
      <c r="F463" s="20" t="s">
        <v>142</v>
      </c>
    </row>
    <row r="464" ht="15.75" customHeight="1">
      <c r="A464" s="14" t="s">
        <v>139</v>
      </c>
      <c r="B464" s="16" t="s">
        <v>140</v>
      </c>
      <c r="C464" s="16" t="s">
        <v>97</v>
      </c>
      <c r="D464" s="17" t="s">
        <v>927</v>
      </c>
      <c r="E464" s="15">
        <v>217.0</v>
      </c>
      <c r="F464" s="20" t="s">
        <v>142</v>
      </c>
    </row>
    <row r="465" ht="15.75" customHeight="1">
      <c r="A465" s="14" t="s">
        <v>139</v>
      </c>
      <c r="B465" s="16" t="s">
        <v>140</v>
      </c>
      <c r="C465" s="16" t="s">
        <v>97</v>
      </c>
      <c r="D465" s="17" t="s">
        <v>1782</v>
      </c>
      <c r="E465" s="15">
        <v>10.0</v>
      </c>
      <c r="F465" s="20" t="s">
        <v>142</v>
      </c>
    </row>
    <row r="466" ht="15.75" customHeight="1">
      <c r="A466" s="14" t="s">
        <v>139</v>
      </c>
      <c r="B466" s="16" t="s">
        <v>140</v>
      </c>
      <c r="C466" s="16" t="s">
        <v>97</v>
      </c>
      <c r="D466" s="17" t="s">
        <v>1785</v>
      </c>
      <c r="E466" s="15">
        <v>1.0</v>
      </c>
      <c r="F466" s="20" t="s">
        <v>142</v>
      </c>
    </row>
    <row r="467" ht="15.75" customHeight="1">
      <c r="A467" s="14" t="s">
        <v>139</v>
      </c>
      <c r="B467" s="16" t="s">
        <v>140</v>
      </c>
      <c r="C467" s="16" t="s">
        <v>97</v>
      </c>
      <c r="D467" s="17" t="s">
        <v>1787</v>
      </c>
      <c r="E467" s="15">
        <v>1.0</v>
      </c>
      <c r="F467" s="20" t="s">
        <v>142</v>
      </c>
    </row>
    <row r="468" ht="15.75" customHeight="1">
      <c r="A468" s="14" t="s">
        <v>139</v>
      </c>
      <c r="B468" s="16" t="s">
        <v>140</v>
      </c>
      <c r="C468" s="16" t="s">
        <v>97</v>
      </c>
      <c r="D468" s="17" t="s">
        <v>1791</v>
      </c>
      <c r="E468" s="15">
        <v>1.0</v>
      </c>
      <c r="F468" s="20" t="s">
        <v>142</v>
      </c>
    </row>
    <row r="469" ht="15.75" customHeight="1">
      <c r="A469" s="14" t="s">
        <v>139</v>
      </c>
      <c r="B469" s="16" t="s">
        <v>140</v>
      </c>
      <c r="C469" s="16" t="s">
        <v>97</v>
      </c>
      <c r="D469" s="17" t="s">
        <v>1794</v>
      </c>
      <c r="E469" s="15">
        <v>164.0</v>
      </c>
      <c r="F469" s="20" t="s">
        <v>142</v>
      </c>
    </row>
    <row r="470" ht="15.75" customHeight="1">
      <c r="A470" s="14" t="s">
        <v>139</v>
      </c>
      <c r="B470" s="16" t="s">
        <v>140</v>
      </c>
      <c r="C470" s="16" t="s">
        <v>97</v>
      </c>
      <c r="D470" s="17" t="s">
        <v>1796</v>
      </c>
      <c r="E470" s="15">
        <v>5.0</v>
      </c>
      <c r="F470" s="20" t="s">
        <v>142</v>
      </c>
    </row>
    <row r="471" ht="15.75" customHeight="1">
      <c r="A471" s="14" t="s">
        <v>139</v>
      </c>
      <c r="B471" s="16" t="s">
        <v>140</v>
      </c>
      <c r="C471" s="16" t="s">
        <v>97</v>
      </c>
      <c r="D471" s="17" t="s">
        <v>1799</v>
      </c>
      <c r="E471" s="15">
        <v>1.0</v>
      </c>
      <c r="F471" s="20" t="s">
        <v>142</v>
      </c>
    </row>
    <row r="472" ht="15.75" customHeight="1">
      <c r="A472" s="14" t="s">
        <v>105</v>
      </c>
      <c r="B472" s="16" t="s">
        <v>106</v>
      </c>
      <c r="C472" s="16" t="s">
        <v>46</v>
      </c>
      <c r="D472" s="17" t="s">
        <v>454</v>
      </c>
      <c r="E472" s="15">
        <v>5516.0</v>
      </c>
      <c r="F472" s="20" t="s">
        <v>107</v>
      </c>
    </row>
    <row r="473" ht="15.75" customHeight="1">
      <c r="A473" s="14" t="s">
        <v>105</v>
      </c>
      <c r="B473" s="16" t="s">
        <v>106</v>
      </c>
      <c r="C473" s="16" t="s">
        <v>46</v>
      </c>
      <c r="D473" s="17" t="s">
        <v>455</v>
      </c>
      <c r="E473" s="15">
        <v>3121.0</v>
      </c>
      <c r="F473" s="20" t="s">
        <v>107</v>
      </c>
    </row>
    <row r="474" ht="15.75" customHeight="1">
      <c r="A474" s="14" t="s">
        <v>105</v>
      </c>
      <c r="B474" s="16" t="s">
        <v>106</v>
      </c>
      <c r="C474" s="16" t="s">
        <v>46</v>
      </c>
      <c r="D474" s="17" t="s">
        <v>459</v>
      </c>
      <c r="E474" s="15">
        <v>1778.0</v>
      </c>
      <c r="F474" s="20" t="s">
        <v>107</v>
      </c>
    </row>
    <row r="475" ht="15.75" customHeight="1">
      <c r="A475" s="14" t="s">
        <v>105</v>
      </c>
      <c r="B475" s="16" t="s">
        <v>106</v>
      </c>
      <c r="C475" s="16" t="s">
        <v>114</v>
      </c>
      <c r="D475" s="17" t="s">
        <v>704</v>
      </c>
      <c r="E475" s="15">
        <v>1966.0</v>
      </c>
      <c r="F475" s="20" t="s">
        <v>107</v>
      </c>
    </row>
    <row r="476" ht="15.75" customHeight="1">
      <c r="A476" s="14" t="s">
        <v>105</v>
      </c>
      <c r="B476" s="16" t="s">
        <v>106</v>
      </c>
      <c r="C476" s="16" t="s">
        <v>114</v>
      </c>
      <c r="D476" s="17" t="s">
        <v>709</v>
      </c>
      <c r="E476" s="15">
        <v>1133.0</v>
      </c>
      <c r="F476" s="20" t="s">
        <v>107</v>
      </c>
    </row>
    <row r="477" ht="15.75" customHeight="1">
      <c r="A477" s="14" t="s">
        <v>105</v>
      </c>
      <c r="B477" s="16" t="s">
        <v>106</v>
      </c>
      <c r="C477" s="16" t="s">
        <v>114</v>
      </c>
      <c r="D477" s="17" t="s">
        <v>714</v>
      </c>
      <c r="E477" s="15">
        <v>323.0</v>
      </c>
      <c r="F477" s="20" t="s">
        <v>107</v>
      </c>
    </row>
    <row r="478" ht="15.75" customHeight="1">
      <c r="A478" s="14" t="s">
        <v>105</v>
      </c>
      <c r="B478" s="16" t="s">
        <v>106</v>
      </c>
      <c r="C478" s="16" t="s">
        <v>114</v>
      </c>
      <c r="D478" s="17" t="s">
        <v>719</v>
      </c>
      <c r="E478" s="15">
        <v>129.0</v>
      </c>
      <c r="F478" s="20" t="s">
        <v>107</v>
      </c>
    </row>
    <row r="479" ht="15.75" customHeight="1">
      <c r="A479" s="14" t="s">
        <v>105</v>
      </c>
      <c r="B479" s="16" t="s">
        <v>106</v>
      </c>
      <c r="C479" s="16" t="s">
        <v>114</v>
      </c>
      <c r="D479" s="17" t="s">
        <v>722</v>
      </c>
      <c r="E479" s="15">
        <v>47.0</v>
      </c>
      <c r="F479" s="20" t="s">
        <v>107</v>
      </c>
    </row>
    <row r="480" ht="15.75" customHeight="1">
      <c r="A480" s="14" t="s">
        <v>105</v>
      </c>
      <c r="B480" s="16" t="s">
        <v>106</v>
      </c>
      <c r="C480" s="16" t="s">
        <v>97</v>
      </c>
      <c r="D480" s="17" t="s">
        <v>467</v>
      </c>
      <c r="E480" s="15">
        <v>4441.0</v>
      </c>
      <c r="F480" s="20" t="s">
        <v>107</v>
      </c>
    </row>
    <row r="481" ht="15.75" customHeight="1">
      <c r="A481" s="14" t="s">
        <v>105</v>
      </c>
      <c r="B481" s="16" t="s">
        <v>106</v>
      </c>
      <c r="C481" s="16" t="s">
        <v>97</v>
      </c>
      <c r="D481" s="17" t="s">
        <v>471</v>
      </c>
      <c r="E481" s="15">
        <v>820.0</v>
      </c>
      <c r="F481" s="20" t="s">
        <v>107</v>
      </c>
    </row>
    <row r="482" ht="15.75" customHeight="1">
      <c r="A482" s="14" t="s">
        <v>105</v>
      </c>
      <c r="B482" s="16" t="s">
        <v>106</v>
      </c>
      <c r="C482" s="16" t="s">
        <v>97</v>
      </c>
      <c r="D482" s="17" t="s">
        <v>476</v>
      </c>
      <c r="E482" s="15">
        <v>405.0</v>
      </c>
      <c r="F482" s="20" t="s">
        <v>107</v>
      </c>
    </row>
    <row r="483" ht="15.75" customHeight="1">
      <c r="A483" s="14" t="s">
        <v>105</v>
      </c>
      <c r="B483" s="16" t="s">
        <v>106</v>
      </c>
      <c r="C483" s="16" t="s">
        <v>97</v>
      </c>
      <c r="D483" s="17" t="s">
        <v>736</v>
      </c>
      <c r="E483" s="15">
        <v>36.0</v>
      </c>
      <c r="F483" s="20" t="s">
        <v>107</v>
      </c>
    </row>
    <row r="484" ht="15.75" customHeight="1">
      <c r="A484" s="14" t="s">
        <v>105</v>
      </c>
      <c r="B484" s="16" t="s">
        <v>106</v>
      </c>
      <c r="C484" s="16" t="s">
        <v>97</v>
      </c>
      <c r="D484" s="17" t="s">
        <v>742</v>
      </c>
      <c r="E484" s="15">
        <v>10.0</v>
      </c>
      <c r="F484" s="20" t="s">
        <v>107</v>
      </c>
    </row>
    <row r="485" ht="15.75" customHeight="1">
      <c r="A485" s="14" t="s">
        <v>105</v>
      </c>
      <c r="B485" s="16" t="s">
        <v>106</v>
      </c>
      <c r="C485" s="16" t="s">
        <v>97</v>
      </c>
      <c r="D485" s="17" t="s">
        <v>478</v>
      </c>
      <c r="E485" s="15">
        <v>6.0</v>
      </c>
      <c r="F485" s="20" t="s">
        <v>107</v>
      </c>
    </row>
    <row r="486" ht="15.75" customHeight="1">
      <c r="A486" s="14" t="s">
        <v>105</v>
      </c>
      <c r="B486" s="16" t="s">
        <v>106</v>
      </c>
      <c r="C486" s="16" t="s">
        <v>97</v>
      </c>
      <c r="D486" s="17" t="s">
        <v>750</v>
      </c>
      <c r="E486" s="15">
        <v>1.0</v>
      </c>
      <c r="F486" s="20" t="s">
        <v>107</v>
      </c>
    </row>
    <row r="487" ht="15.75" customHeight="1">
      <c r="A487" s="14" t="s">
        <v>105</v>
      </c>
      <c r="B487" s="16" t="s">
        <v>106</v>
      </c>
      <c r="C487" s="16" t="s">
        <v>97</v>
      </c>
      <c r="D487" s="17" t="s">
        <v>754</v>
      </c>
      <c r="E487" s="15">
        <v>1.0</v>
      </c>
      <c r="F487" s="20" t="s">
        <v>107</v>
      </c>
    </row>
    <row r="488" ht="15.75" customHeight="1">
      <c r="A488" s="14" t="s">
        <v>105</v>
      </c>
      <c r="B488" s="16" t="s">
        <v>106</v>
      </c>
      <c r="C488" s="16" t="s">
        <v>97</v>
      </c>
      <c r="D488" s="17" t="s">
        <v>757</v>
      </c>
      <c r="E488" s="15">
        <v>1.0</v>
      </c>
      <c r="F488" s="20" t="s">
        <v>107</v>
      </c>
    </row>
    <row r="489" ht="15.75" customHeight="1">
      <c r="A489" s="14" t="s">
        <v>105</v>
      </c>
      <c r="B489" s="16" t="s">
        <v>106</v>
      </c>
      <c r="C489" s="16" t="s">
        <v>97</v>
      </c>
      <c r="D489" s="17" t="s">
        <v>762</v>
      </c>
      <c r="E489" s="15">
        <v>1.0</v>
      </c>
      <c r="F489" s="20" t="s">
        <v>107</v>
      </c>
    </row>
    <row r="490" ht="15.75" customHeight="1">
      <c r="A490" s="14" t="s">
        <v>105</v>
      </c>
      <c r="B490" s="16" t="s">
        <v>106</v>
      </c>
      <c r="C490" s="16" t="s">
        <v>97</v>
      </c>
      <c r="D490" s="17" t="s">
        <v>766</v>
      </c>
      <c r="E490" s="15">
        <v>1.0</v>
      </c>
      <c r="F490" s="20" t="s">
        <v>107</v>
      </c>
    </row>
    <row r="491" ht="15.75" customHeight="1">
      <c r="A491" s="14" t="s">
        <v>105</v>
      </c>
      <c r="B491" s="16" t="s">
        <v>106</v>
      </c>
      <c r="C491" s="16" t="s">
        <v>97</v>
      </c>
      <c r="D491" s="17" t="s">
        <v>480</v>
      </c>
      <c r="E491" s="15">
        <v>3227.0</v>
      </c>
      <c r="F491" s="20" t="s">
        <v>107</v>
      </c>
    </row>
    <row r="492" ht="15.75" customHeight="1">
      <c r="A492" s="14" t="s">
        <v>105</v>
      </c>
      <c r="B492" s="16" t="s">
        <v>106</v>
      </c>
      <c r="C492" s="16" t="s">
        <v>97</v>
      </c>
      <c r="D492" s="17" t="s">
        <v>775</v>
      </c>
      <c r="E492" s="15">
        <v>1.0</v>
      </c>
      <c r="F492" s="20" t="s">
        <v>107</v>
      </c>
    </row>
    <row r="493" ht="15.75" customHeight="1">
      <c r="A493" s="14" t="s">
        <v>105</v>
      </c>
      <c r="B493" s="16" t="s">
        <v>106</v>
      </c>
      <c r="C493" s="16" t="s">
        <v>97</v>
      </c>
      <c r="D493" s="17" t="s">
        <v>483</v>
      </c>
      <c r="E493" s="15">
        <v>2168.0</v>
      </c>
      <c r="F493" s="20" t="s">
        <v>107</v>
      </c>
    </row>
    <row r="494" ht="15.75" customHeight="1">
      <c r="A494" s="14" t="s">
        <v>105</v>
      </c>
      <c r="B494" s="16" t="s">
        <v>106</v>
      </c>
      <c r="C494" s="16" t="s">
        <v>97</v>
      </c>
      <c r="D494" s="17" t="s">
        <v>487</v>
      </c>
      <c r="E494" s="15">
        <v>1377.0</v>
      </c>
      <c r="F494" s="20" t="s">
        <v>107</v>
      </c>
    </row>
    <row r="495" ht="15.75" customHeight="1">
      <c r="A495" s="14" t="s">
        <v>105</v>
      </c>
      <c r="B495" s="16" t="s">
        <v>106</v>
      </c>
      <c r="C495" s="16" t="s">
        <v>97</v>
      </c>
      <c r="D495" s="17" t="s">
        <v>491</v>
      </c>
      <c r="E495" s="15">
        <v>1270.0</v>
      </c>
      <c r="F495" s="20" t="s">
        <v>107</v>
      </c>
    </row>
    <row r="496" ht="15.75" customHeight="1">
      <c r="A496" s="14" t="s">
        <v>105</v>
      </c>
      <c r="B496" s="16" t="s">
        <v>106</v>
      </c>
      <c r="C496" s="16" t="s">
        <v>97</v>
      </c>
      <c r="D496" s="17" t="s">
        <v>495</v>
      </c>
      <c r="E496" s="15">
        <v>985.0</v>
      </c>
      <c r="F496" s="20" t="s">
        <v>107</v>
      </c>
    </row>
    <row r="497" ht="15.75" customHeight="1">
      <c r="A497" s="14" t="s">
        <v>105</v>
      </c>
      <c r="B497" s="16" t="s">
        <v>106</v>
      </c>
      <c r="C497" s="16" t="s">
        <v>97</v>
      </c>
      <c r="D497" s="17" t="s">
        <v>497</v>
      </c>
      <c r="E497" s="15">
        <v>933.0</v>
      </c>
      <c r="F497" s="20" t="s">
        <v>107</v>
      </c>
    </row>
    <row r="498" ht="15.75" customHeight="1">
      <c r="A498" s="14" t="s">
        <v>105</v>
      </c>
      <c r="B498" s="16" t="s">
        <v>106</v>
      </c>
      <c r="C498" s="16" t="s">
        <v>97</v>
      </c>
      <c r="D498" s="17" t="s">
        <v>500</v>
      </c>
      <c r="E498" s="15">
        <v>960.0</v>
      </c>
      <c r="F498" s="20" t="s">
        <v>107</v>
      </c>
    </row>
    <row r="499" ht="15.75" customHeight="1">
      <c r="A499" s="14" t="s">
        <v>105</v>
      </c>
      <c r="B499" s="16" t="s">
        <v>106</v>
      </c>
      <c r="C499" s="16" t="s">
        <v>97</v>
      </c>
      <c r="D499" s="17" t="s">
        <v>503</v>
      </c>
      <c r="E499" s="15">
        <v>861.0</v>
      </c>
      <c r="F499" s="20" t="s">
        <v>107</v>
      </c>
    </row>
    <row r="500" ht="15.75" customHeight="1">
      <c r="A500" s="14" t="s">
        <v>92</v>
      </c>
      <c r="B500" s="16" t="s">
        <v>93</v>
      </c>
      <c r="C500" s="16" t="s">
        <v>46</v>
      </c>
      <c r="D500" s="17" t="s">
        <v>81</v>
      </c>
      <c r="E500" s="15">
        <v>1.0</v>
      </c>
      <c r="F500" s="20" t="s">
        <v>94</v>
      </c>
    </row>
    <row r="501" ht="15.75" customHeight="1">
      <c r="A501" s="14" t="s">
        <v>92</v>
      </c>
      <c r="B501" s="16" t="s">
        <v>93</v>
      </c>
      <c r="C501" s="16" t="s">
        <v>97</v>
      </c>
      <c r="D501" s="17" t="s">
        <v>871</v>
      </c>
      <c r="E501" s="15">
        <v>8816.0</v>
      </c>
      <c r="F501" s="20" t="s">
        <v>94</v>
      </c>
    </row>
    <row r="502" ht="15.75" customHeight="1">
      <c r="A502" s="14" t="s">
        <v>92</v>
      </c>
      <c r="B502" s="16" t="s">
        <v>93</v>
      </c>
      <c r="C502" s="16" t="s">
        <v>97</v>
      </c>
      <c r="D502" s="17" t="s">
        <v>858</v>
      </c>
      <c r="E502" s="15">
        <v>1.0</v>
      </c>
      <c r="F502" s="20" t="s">
        <v>94</v>
      </c>
    </row>
    <row r="503" ht="15.75" customHeight="1">
      <c r="A503" s="14" t="s">
        <v>92</v>
      </c>
      <c r="B503" s="16" t="s">
        <v>93</v>
      </c>
      <c r="C503" s="16" t="s">
        <v>97</v>
      </c>
      <c r="D503" s="17" t="s">
        <v>843</v>
      </c>
      <c r="E503" s="15">
        <v>2.0</v>
      </c>
      <c r="F503" s="20" t="s">
        <v>94</v>
      </c>
    </row>
    <row r="504" ht="15.75" customHeight="1">
      <c r="A504" s="14" t="s">
        <v>92</v>
      </c>
      <c r="B504" s="16" t="s">
        <v>93</v>
      </c>
      <c r="C504" s="16" t="s">
        <v>97</v>
      </c>
      <c r="D504" s="17" t="s">
        <v>1015</v>
      </c>
      <c r="E504" s="15">
        <v>2212.0</v>
      </c>
      <c r="F504" s="20" t="s">
        <v>94</v>
      </c>
    </row>
    <row r="505" ht="15.75" customHeight="1">
      <c r="A505" s="14" t="s">
        <v>92</v>
      </c>
      <c r="B505" s="16" t="s">
        <v>93</v>
      </c>
      <c r="C505" s="16" t="s">
        <v>97</v>
      </c>
      <c r="D505" s="17" t="s">
        <v>1819</v>
      </c>
      <c r="E505" s="15">
        <v>35.0</v>
      </c>
      <c r="F505" s="20" t="s">
        <v>94</v>
      </c>
    </row>
    <row r="506" ht="15.75" customHeight="1">
      <c r="A506" s="14" t="s">
        <v>92</v>
      </c>
      <c r="B506" s="16" t="s">
        <v>93</v>
      </c>
      <c r="C506" s="16" t="s">
        <v>97</v>
      </c>
      <c r="D506" s="17" t="s">
        <v>1820</v>
      </c>
      <c r="E506" s="15">
        <v>1.0</v>
      </c>
      <c r="F506" s="20" t="s">
        <v>94</v>
      </c>
    </row>
    <row r="507" ht="15.75" customHeight="1">
      <c r="A507" s="14" t="s">
        <v>92</v>
      </c>
      <c r="B507" s="16" t="s">
        <v>93</v>
      </c>
      <c r="C507" s="16" t="s">
        <v>97</v>
      </c>
      <c r="D507" s="17" t="s">
        <v>1021</v>
      </c>
      <c r="E507" s="15">
        <v>2241.0</v>
      </c>
      <c r="F507" s="20" t="s">
        <v>94</v>
      </c>
    </row>
    <row r="508" ht="15.75" customHeight="1">
      <c r="A508" s="14" t="s">
        <v>92</v>
      </c>
      <c r="B508" s="16" t="s">
        <v>93</v>
      </c>
      <c r="C508" s="16" t="s">
        <v>97</v>
      </c>
      <c r="D508" s="17" t="s">
        <v>1824</v>
      </c>
      <c r="E508" s="15">
        <v>789.0</v>
      </c>
      <c r="F508" s="20" t="s">
        <v>94</v>
      </c>
    </row>
    <row r="509" ht="15.75" customHeight="1">
      <c r="A509" s="14" t="s">
        <v>92</v>
      </c>
      <c r="B509" s="16" t="s">
        <v>93</v>
      </c>
      <c r="C509" s="16" t="s">
        <v>97</v>
      </c>
      <c r="D509" s="17" t="s">
        <v>1825</v>
      </c>
      <c r="E509" s="15">
        <v>10.0</v>
      </c>
      <c r="F509" s="20" t="s">
        <v>94</v>
      </c>
    </row>
    <row r="510" ht="15.75" customHeight="1">
      <c r="A510" s="14" t="s">
        <v>92</v>
      </c>
      <c r="B510" s="16" t="s">
        <v>93</v>
      </c>
      <c r="C510" s="16" t="s">
        <v>97</v>
      </c>
      <c r="D510" s="17" t="s">
        <v>1025</v>
      </c>
      <c r="E510" s="15">
        <v>795.0</v>
      </c>
      <c r="F510" s="20" t="s">
        <v>94</v>
      </c>
    </row>
    <row r="511" ht="15.75" customHeight="1">
      <c r="A511" s="14" t="s">
        <v>92</v>
      </c>
      <c r="B511" s="16" t="s">
        <v>93</v>
      </c>
      <c r="C511" s="16" t="s">
        <v>97</v>
      </c>
      <c r="D511" s="17" t="s">
        <v>1826</v>
      </c>
      <c r="E511" s="15">
        <v>52.0</v>
      </c>
      <c r="F511" s="20" t="s">
        <v>94</v>
      </c>
    </row>
    <row r="512" ht="15.75" customHeight="1">
      <c r="A512" s="14" t="s">
        <v>92</v>
      </c>
      <c r="B512" s="16" t="s">
        <v>93</v>
      </c>
      <c r="C512" s="16" t="s">
        <v>97</v>
      </c>
      <c r="D512" s="17" t="s">
        <v>1827</v>
      </c>
      <c r="E512" s="15">
        <v>2.0</v>
      </c>
      <c r="F512" s="20" t="s">
        <v>94</v>
      </c>
    </row>
    <row r="513" ht="15.75" customHeight="1">
      <c r="A513" s="14" t="s">
        <v>92</v>
      </c>
      <c r="B513" s="16" t="s">
        <v>93</v>
      </c>
      <c r="C513" s="16" t="s">
        <v>97</v>
      </c>
      <c r="D513" s="17" t="s">
        <v>1830</v>
      </c>
      <c r="E513" s="15">
        <v>1.0</v>
      </c>
      <c r="F513" s="20" t="s">
        <v>94</v>
      </c>
    </row>
    <row r="514" ht="15.75" customHeight="1">
      <c r="A514" s="14" t="s">
        <v>92</v>
      </c>
      <c r="B514" s="16" t="s">
        <v>93</v>
      </c>
      <c r="C514" s="16" t="s">
        <v>97</v>
      </c>
      <c r="D514" s="17" t="s">
        <v>1832</v>
      </c>
      <c r="E514" s="15">
        <v>1.0</v>
      </c>
      <c r="F514" s="20" t="s">
        <v>94</v>
      </c>
    </row>
    <row r="515" ht="15.75" customHeight="1">
      <c r="A515" s="14" t="s">
        <v>92</v>
      </c>
      <c r="B515" s="16" t="s">
        <v>93</v>
      </c>
      <c r="C515" s="16" t="s">
        <v>97</v>
      </c>
      <c r="D515" s="17" t="s">
        <v>1833</v>
      </c>
      <c r="E515" s="15">
        <v>1.0</v>
      </c>
      <c r="F515" s="20" t="s">
        <v>94</v>
      </c>
    </row>
    <row r="516" ht="15.75" customHeight="1">
      <c r="A516" s="14" t="s">
        <v>92</v>
      </c>
      <c r="B516" s="16" t="s">
        <v>93</v>
      </c>
      <c r="C516" s="16" t="s">
        <v>97</v>
      </c>
      <c r="D516" s="17" t="s">
        <v>1031</v>
      </c>
      <c r="E516" s="15">
        <v>58.0</v>
      </c>
      <c r="F516" s="20" t="s">
        <v>94</v>
      </c>
    </row>
    <row r="517" ht="15.75" customHeight="1">
      <c r="A517" s="14" t="s">
        <v>92</v>
      </c>
      <c r="B517" s="16" t="s">
        <v>93</v>
      </c>
      <c r="C517" s="16" t="s">
        <v>97</v>
      </c>
      <c r="D517" s="17" t="s">
        <v>1836</v>
      </c>
      <c r="E517" s="15">
        <v>18.0</v>
      </c>
      <c r="F517" s="20" t="s">
        <v>94</v>
      </c>
    </row>
    <row r="518" ht="15.75" customHeight="1">
      <c r="A518" s="14" t="s">
        <v>92</v>
      </c>
      <c r="B518" s="16" t="s">
        <v>93</v>
      </c>
      <c r="C518" s="16" t="s">
        <v>97</v>
      </c>
      <c r="D518" s="17" t="s">
        <v>1837</v>
      </c>
      <c r="E518" s="15">
        <v>20.0</v>
      </c>
      <c r="F518" s="20" t="s">
        <v>94</v>
      </c>
    </row>
    <row r="519" ht="15.75" customHeight="1">
      <c r="A519" s="14" t="s">
        <v>92</v>
      </c>
      <c r="B519" s="16" t="s">
        <v>93</v>
      </c>
      <c r="C519" s="16" t="s">
        <v>97</v>
      </c>
      <c r="D519" s="17" t="s">
        <v>1840</v>
      </c>
      <c r="E519" s="15">
        <v>9.0</v>
      </c>
      <c r="F519" s="20" t="s">
        <v>94</v>
      </c>
    </row>
    <row r="520" ht="15.75" customHeight="1">
      <c r="A520" s="14" t="s">
        <v>92</v>
      </c>
      <c r="B520" s="16" t="s">
        <v>93</v>
      </c>
      <c r="C520" s="16" t="s">
        <v>97</v>
      </c>
      <c r="D520" s="17" t="s">
        <v>1842</v>
      </c>
      <c r="E520" s="15">
        <v>11.0</v>
      </c>
      <c r="F520" s="20" t="s">
        <v>94</v>
      </c>
    </row>
    <row r="521" ht="15.75" customHeight="1">
      <c r="A521" s="14" t="s">
        <v>92</v>
      </c>
      <c r="B521" s="16" t="s">
        <v>93</v>
      </c>
      <c r="C521" s="16" t="s">
        <v>97</v>
      </c>
      <c r="D521" s="17" t="s">
        <v>1844</v>
      </c>
      <c r="E521" s="15">
        <v>1.0</v>
      </c>
      <c r="F521" s="20" t="s">
        <v>94</v>
      </c>
    </row>
    <row r="522" ht="15.75" customHeight="1">
      <c r="A522" s="14" t="s">
        <v>92</v>
      </c>
      <c r="B522" s="16" t="s">
        <v>93</v>
      </c>
      <c r="C522" s="16" t="s">
        <v>97</v>
      </c>
      <c r="D522" s="17" t="s">
        <v>1845</v>
      </c>
      <c r="E522" s="15">
        <v>1.0</v>
      </c>
      <c r="F522" s="20" t="s">
        <v>94</v>
      </c>
    </row>
    <row r="523" ht="15.75" customHeight="1">
      <c r="A523" s="14" t="s">
        <v>92</v>
      </c>
      <c r="B523" s="16" t="s">
        <v>93</v>
      </c>
      <c r="C523" s="16" t="s">
        <v>97</v>
      </c>
      <c r="D523" s="17" t="s">
        <v>1847</v>
      </c>
      <c r="E523" s="15">
        <v>1.0</v>
      </c>
      <c r="F523" s="20" t="s">
        <v>94</v>
      </c>
    </row>
    <row r="524" ht="15.75" customHeight="1">
      <c r="A524" s="14" t="s">
        <v>92</v>
      </c>
      <c r="B524" s="16" t="s">
        <v>93</v>
      </c>
      <c r="C524" s="16" t="s">
        <v>97</v>
      </c>
      <c r="D524" s="17" t="s">
        <v>1848</v>
      </c>
      <c r="E524" s="15">
        <v>1.0</v>
      </c>
      <c r="F524" s="20" t="s">
        <v>94</v>
      </c>
    </row>
    <row r="525" ht="15.75" customHeight="1">
      <c r="A525" s="14" t="s">
        <v>92</v>
      </c>
      <c r="B525" s="16" t="s">
        <v>93</v>
      </c>
      <c r="C525" s="16" t="s">
        <v>97</v>
      </c>
      <c r="D525" s="17" t="s">
        <v>1850</v>
      </c>
      <c r="E525" s="15">
        <v>1.0</v>
      </c>
      <c r="F525" s="20" t="s">
        <v>94</v>
      </c>
    </row>
    <row r="526" ht="15.75" customHeight="1">
      <c r="A526" s="14" t="s">
        <v>92</v>
      </c>
      <c r="B526" s="16" t="s">
        <v>93</v>
      </c>
      <c r="C526" s="16" t="s">
        <v>97</v>
      </c>
      <c r="D526" s="17" t="s">
        <v>1853</v>
      </c>
      <c r="E526" s="15">
        <v>1.0</v>
      </c>
      <c r="F526" s="20" t="s">
        <v>94</v>
      </c>
    </row>
    <row r="527" ht="15.75" customHeight="1">
      <c r="A527" s="14" t="s">
        <v>92</v>
      </c>
      <c r="B527" s="16" t="s">
        <v>93</v>
      </c>
      <c r="C527" s="16" t="s">
        <v>97</v>
      </c>
      <c r="D527" s="17" t="s">
        <v>1854</v>
      </c>
      <c r="E527" s="15">
        <v>1.0</v>
      </c>
      <c r="F527" s="20" t="s">
        <v>94</v>
      </c>
    </row>
    <row r="528" ht="15.75" customHeight="1">
      <c r="A528" s="14" t="s">
        <v>92</v>
      </c>
      <c r="B528" s="16" t="s">
        <v>93</v>
      </c>
      <c r="C528" s="16" t="s">
        <v>97</v>
      </c>
      <c r="D528" s="17" t="s">
        <v>1856</v>
      </c>
      <c r="E528" s="15">
        <v>1.0</v>
      </c>
      <c r="F528" s="20" t="s">
        <v>94</v>
      </c>
    </row>
    <row r="529" ht="15.75" customHeight="1">
      <c r="A529" s="14" t="s">
        <v>92</v>
      </c>
      <c r="B529" s="16" t="s">
        <v>93</v>
      </c>
      <c r="C529" s="16" t="s">
        <v>97</v>
      </c>
      <c r="D529" s="17" t="s">
        <v>1857</v>
      </c>
      <c r="E529" s="15">
        <v>1.0</v>
      </c>
      <c r="F529" s="20" t="s">
        <v>94</v>
      </c>
    </row>
    <row r="530" ht="15.75" customHeight="1">
      <c r="A530" s="14" t="s">
        <v>92</v>
      </c>
      <c r="B530" s="16" t="s">
        <v>93</v>
      </c>
      <c r="C530" s="16" t="s">
        <v>97</v>
      </c>
      <c r="D530" s="17" t="s">
        <v>1858</v>
      </c>
      <c r="E530" s="15">
        <v>1.0</v>
      </c>
      <c r="F530" s="20" t="s">
        <v>94</v>
      </c>
    </row>
    <row r="531" ht="15.75" customHeight="1">
      <c r="A531" s="14" t="s">
        <v>92</v>
      </c>
      <c r="B531" s="16" t="s">
        <v>93</v>
      </c>
      <c r="C531" s="16" t="s">
        <v>97</v>
      </c>
      <c r="D531" s="17" t="s">
        <v>379</v>
      </c>
      <c r="E531" s="15">
        <v>2.0</v>
      </c>
      <c r="F531" s="20" t="s">
        <v>94</v>
      </c>
    </row>
    <row r="532" ht="15.75" customHeight="1">
      <c r="A532" s="14" t="s">
        <v>92</v>
      </c>
      <c r="B532" s="16" t="s">
        <v>93</v>
      </c>
      <c r="C532" s="16" t="s">
        <v>97</v>
      </c>
      <c r="D532" s="17" t="s">
        <v>1029</v>
      </c>
      <c r="E532" s="15">
        <v>6042.0</v>
      </c>
      <c r="F532" s="20" t="s">
        <v>94</v>
      </c>
    </row>
    <row r="533" ht="15.75" customHeight="1">
      <c r="A533" s="14" t="s">
        <v>92</v>
      </c>
      <c r="B533" s="16" t="s">
        <v>93</v>
      </c>
      <c r="C533" s="16" t="s">
        <v>97</v>
      </c>
      <c r="D533" s="17" t="s">
        <v>1041</v>
      </c>
      <c r="E533" s="15">
        <v>813.0</v>
      </c>
      <c r="F533" s="20" t="s">
        <v>94</v>
      </c>
    </row>
    <row r="534" ht="15.75" customHeight="1">
      <c r="A534" s="14" t="s">
        <v>92</v>
      </c>
      <c r="B534" s="16" t="s">
        <v>93</v>
      </c>
      <c r="C534" s="16" t="s">
        <v>97</v>
      </c>
      <c r="D534" s="17" t="s">
        <v>1048</v>
      </c>
      <c r="E534" s="15">
        <v>342.0</v>
      </c>
      <c r="F534" s="20" t="s">
        <v>94</v>
      </c>
    </row>
    <row r="535" ht="15.75" customHeight="1">
      <c r="A535" s="14" t="s">
        <v>92</v>
      </c>
      <c r="B535" s="16" t="s">
        <v>93</v>
      </c>
      <c r="C535" s="16" t="s">
        <v>97</v>
      </c>
      <c r="D535" s="17" t="s">
        <v>1059</v>
      </c>
      <c r="E535" s="15">
        <v>68.0</v>
      </c>
      <c r="F535" s="20" t="s">
        <v>94</v>
      </c>
    </row>
    <row r="536" ht="15.75" customHeight="1">
      <c r="A536" s="14" t="s">
        <v>92</v>
      </c>
      <c r="B536" s="16" t="s">
        <v>93</v>
      </c>
      <c r="C536" s="16" t="s">
        <v>97</v>
      </c>
      <c r="D536" s="17" t="s">
        <v>1078</v>
      </c>
      <c r="E536" s="15">
        <v>40.0</v>
      </c>
      <c r="F536" s="20" t="s">
        <v>94</v>
      </c>
    </row>
    <row r="537" ht="15.75" customHeight="1">
      <c r="A537" s="14" t="s">
        <v>92</v>
      </c>
      <c r="B537" s="16" t="s">
        <v>93</v>
      </c>
      <c r="C537" s="16" t="s">
        <v>97</v>
      </c>
      <c r="D537" s="17" t="s">
        <v>1120</v>
      </c>
      <c r="E537" s="15">
        <v>21.0</v>
      </c>
      <c r="F537" s="20" t="s">
        <v>94</v>
      </c>
    </row>
    <row r="538" ht="15.75" customHeight="1">
      <c r="A538" s="14" t="s">
        <v>92</v>
      </c>
      <c r="B538" s="16" t="s">
        <v>93</v>
      </c>
      <c r="C538" s="16" t="s">
        <v>97</v>
      </c>
      <c r="D538" s="17" t="s">
        <v>1132</v>
      </c>
      <c r="E538" s="15">
        <v>9.0</v>
      </c>
      <c r="F538" s="20" t="s">
        <v>94</v>
      </c>
    </row>
    <row r="539" ht="15.75" customHeight="1">
      <c r="A539" s="14" t="s">
        <v>92</v>
      </c>
      <c r="B539" s="16" t="s">
        <v>93</v>
      </c>
      <c r="C539" s="16" t="s">
        <v>97</v>
      </c>
      <c r="D539" s="17" t="s">
        <v>1144</v>
      </c>
      <c r="E539" s="15">
        <v>3.0</v>
      </c>
      <c r="F539" s="20" t="s">
        <v>94</v>
      </c>
    </row>
    <row r="540" ht="15.75" customHeight="1">
      <c r="A540" s="14" t="s">
        <v>92</v>
      </c>
      <c r="B540" s="16" t="s">
        <v>93</v>
      </c>
      <c r="C540" s="16" t="s">
        <v>97</v>
      </c>
      <c r="D540" s="17" t="s">
        <v>954</v>
      </c>
      <c r="E540" s="15">
        <v>7118.0</v>
      </c>
      <c r="F540" s="20" t="s">
        <v>94</v>
      </c>
    </row>
    <row r="541" ht="15.75" customHeight="1">
      <c r="A541" s="14" t="s">
        <v>92</v>
      </c>
      <c r="B541" s="16" t="s">
        <v>93</v>
      </c>
      <c r="C541" s="16" t="s">
        <v>97</v>
      </c>
      <c r="D541" s="17" t="s">
        <v>1868</v>
      </c>
      <c r="E541" s="15">
        <v>1.0</v>
      </c>
      <c r="F541" s="20" t="s">
        <v>94</v>
      </c>
    </row>
    <row r="542" ht="15.75" customHeight="1">
      <c r="A542" s="14" t="s">
        <v>92</v>
      </c>
      <c r="B542" s="16" t="s">
        <v>93</v>
      </c>
      <c r="C542" s="16" t="s">
        <v>97</v>
      </c>
      <c r="D542" s="17" t="s">
        <v>1871</v>
      </c>
      <c r="E542" s="15">
        <v>1.0</v>
      </c>
      <c r="F542" s="20" t="s">
        <v>94</v>
      </c>
    </row>
    <row r="543" ht="15.75" customHeight="1">
      <c r="A543" s="14" t="s">
        <v>92</v>
      </c>
      <c r="B543" s="16" t="s">
        <v>93</v>
      </c>
      <c r="C543" s="16" t="s">
        <v>97</v>
      </c>
      <c r="D543" s="17" t="s">
        <v>384</v>
      </c>
      <c r="E543" s="15">
        <v>1.0</v>
      </c>
      <c r="F543" s="20" t="s">
        <v>94</v>
      </c>
    </row>
    <row r="544" ht="15.75" customHeight="1">
      <c r="A544" s="14" t="s">
        <v>92</v>
      </c>
      <c r="B544" s="16" t="s">
        <v>93</v>
      </c>
      <c r="C544" s="16" t="s">
        <v>97</v>
      </c>
      <c r="D544" s="17" t="s">
        <v>1513</v>
      </c>
      <c r="E544" s="15">
        <v>1.0</v>
      </c>
      <c r="F544" s="20" t="s">
        <v>94</v>
      </c>
    </row>
    <row r="545" ht="15.75" customHeight="1">
      <c r="A545" s="14" t="s">
        <v>92</v>
      </c>
      <c r="B545" s="16" t="s">
        <v>93</v>
      </c>
      <c r="C545" s="16" t="s">
        <v>97</v>
      </c>
      <c r="D545" s="17" t="s">
        <v>1552</v>
      </c>
      <c r="E545" s="15">
        <v>1.0</v>
      </c>
      <c r="F545" s="20" t="s">
        <v>94</v>
      </c>
    </row>
    <row r="546" ht="15.75" customHeight="1">
      <c r="A546" s="14" t="s">
        <v>92</v>
      </c>
      <c r="B546" s="16" t="s">
        <v>93</v>
      </c>
      <c r="C546" s="16" t="s">
        <v>97</v>
      </c>
      <c r="D546" s="17" t="s">
        <v>1582</v>
      </c>
      <c r="E546" s="15">
        <v>1.0</v>
      </c>
      <c r="F546" s="20" t="s">
        <v>94</v>
      </c>
    </row>
    <row r="547" ht="15.75" customHeight="1">
      <c r="A547" s="14" t="s">
        <v>92</v>
      </c>
      <c r="B547" s="16" t="s">
        <v>93</v>
      </c>
      <c r="C547" s="16" t="s">
        <v>97</v>
      </c>
      <c r="D547" s="17" t="s">
        <v>1113</v>
      </c>
      <c r="E547" s="15">
        <v>5074.0</v>
      </c>
      <c r="F547" s="20" t="s">
        <v>94</v>
      </c>
    </row>
    <row r="548" ht="15.75" customHeight="1">
      <c r="A548" s="14" t="s">
        <v>92</v>
      </c>
      <c r="B548" s="16" t="s">
        <v>93</v>
      </c>
      <c r="C548" s="16" t="s">
        <v>97</v>
      </c>
      <c r="D548" s="17" t="s">
        <v>1119</v>
      </c>
      <c r="E548" s="15">
        <v>566.0</v>
      </c>
      <c r="F548" s="20" t="s">
        <v>94</v>
      </c>
    </row>
    <row r="549" ht="15.75" customHeight="1">
      <c r="A549" s="14" t="s">
        <v>92</v>
      </c>
      <c r="B549" s="16" t="s">
        <v>93</v>
      </c>
      <c r="C549" s="16" t="s">
        <v>97</v>
      </c>
      <c r="D549" s="17" t="s">
        <v>1125</v>
      </c>
      <c r="E549" s="15">
        <v>220.0</v>
      </c>
      <c r="F549" s="20" t="s">
        <v>94</v>
      </c>
    </row>
    <row r="550" ht="15.75" customHeight="1">
      <c r="A550" s="14" t="s">
        <v>92</v>
      </c>
      <c r="B550" s="16" t="s">
        <v>93</v>
      </c>
      <c r="C550" s="16" t="s">
        <v>97</v>
      </c>
      <c r="D550" s="17" t="s">
        <v>1131</v>
      </c>
      <c r="E550" s="15">
        <v>44.0</v>
      </c>
      <c r="F550" s="20" t="s">
        <v>94</v>
      </c>
    </row>
    <row r="551" ht="15.75" customHeight="1">
      <c r="A551" s="14" t="s">
        <v>92</v>
      </c>
      <c r="B551" s="16" t="s">
        <v>93</v>
      </c>
      <c r="C551" s="16" t="s">
        <v>97</v>
      </c>
      <c r="D551" s="17" t="s">
        <v>1134</v>
      </c>
      <c r="E551" s="15">
        <v>26.0</v>
      </c>
      <c r="F551" s="20" t="s">
        <v>94</v>
      </c>
    </row>
    <row r="552" ht="15.75" customHeight="1">
      <c r="A552" s="14" t="s">
        <v>92</v>
      </c>
      <c r="B552" s="16" t="s">
        <v>93</v>
      </c>
      <c r="C552" s="16" t="s">
        <v>97</v>
      </c>
      <c r="D552" s="17" t="s">
        <v>1455</v>
      </c>
      <c r="E552" s="15">
        <v>8.0</v>
      </c>
      <c r="F552" s="20" t="s">
        <v>94</v>
      </c>
    </row>
    <row r="553" ht="15.75" customHeight="1">
      <c r="A553" s="14" t="s">
        <v>92</v>
      </c>
      <c r="B553" s="16" t="s">
        <v>93</v>
      </c>
      <c r="C553" s="16" t="s">
        <v>97</v>
      </c>
      <c r="D553" s="17" t="s">
        <v>1488</v>
      </c>
      <c r="E553" s="15">
        <v>3.0</v>
      </c>
      <c r="F553" s="20" t="s">
        <v>94</v>
      </c>
    </row>
    <row r="554" ht="15.75" customHeight="1">
      <c r="A554" s="14" t="s">
        <v>92</v>
      </c>
      <c r="B554" s="16" t="s">
        <v>93</v>
      </c>
      <c r="C554" s="16" t="s">
        <v>97</v>
      </c>
      <c r="D554" s="17" t="s">
        <v>1499</v>
      </c>
      <c r="E554" s="15">
        <v>1.0</v>
      </c>
      <c r="F554" s="20" t="s">
        <v>94</v>
      </c>
    </row>
    <row r="555" ht="15.75" customHeight="1">
      <c r="A555" s="14" t="s">
        <v>92</v>
      </c>
      <c r="B555" s="16" t="s">
        <v>93</v>
      </c>
      <c r="C555" s="16" t="s">
        <v>97</v>
      </c>
      <c r="D555" s="17" t="s">
        <v>1506</v>
      </c>
      <c r="E555" s="15">
        <v>1.0</v>
      </c>
      <c r="F555" s="20" t="s">
        <v>94</v>
      </c>
    </row>
    <row r="556" ht="15.75" customHeight="1">
      <c r="A556" s="14" t="s">
        <v>92</v>
      </c>
      <c r="B556" s="16" t="s">
        <v>93</v>
      </c>
      <c r="C556" s="16" t="s">
        <v>97</v>
      </c>
      <c r="D556" s="17" t="s">
        <v>1136</v>
      </c>
      <c r="E556" s="15">
        <v>5862.0</v>
      </c>
      <c r="F556" s="20" t="s">
        <v>94</v>
      </c>
    </row>
    <row r="557" ht="15.75" customHeight="1">
      <c r="A557" s="14" t="s">
        <v>92</v>
      </c>
      <c r="B557" s="16" t="s">
        <v>93</v>
      </c>
      <c r="C557" s="16" t="s">
        <v>97</v>
      </c>
      <c r="D557" s="17" t="s">
        <v>1146</v>
      </c>
      <c r="E557" s="15">
        <v>4043.0</v>
      </c>
      <c r="F557" s="20" t="s">
        <v>94</v>
      </c>
    </row>
    <row r="558" ht="15.75" customHeight="1">
      <c r="A558" s="14" t="s">
        <v>92</v>
      </c>
      <c r="B558" s="16" t="s">
        <v>93</v>
      </c>
      <c r="C558" s="16" t="s">
        <v>97</v>
      </c>
      <c r="D558" s="17" t="s">
        <v>1152</v>
      </c>
      <c r="E558" s="15">
        <v>327.0</v>
      </c>
      <c r="F558" s="20" t="s">
        <v>94</v>
      </c>
    </row>
    <row r="559" ht="15.75" customHeight="1">
      <c r="A559" s="14" t="s">
        <v>92</v>
      </c>
      <c r="B559" s="16" t="s">
        <v>93</v>
      </c>
      <c r="C559" s="16" t="s">
        <v>97</v>
      </c>
      <c r="D559" s="17" t="s">
        <v>1162</v>
      </c>
      <c r="E559" s="15">
        <v>117.0</v>
      </c>
      <c r="F559" s="20" t="s">
        <v>94</v>
      </c>
    </row>
    <row r="560" ht="15.75" customHeight="1">
      <c r="A560" s="14" t="s">
        <v>92</v>
      </c>
      <c r="B560" s="16" t="s">
        <v>93</v>
      </c>
      <c r="C560" s="16" t="s">
        <v>97</v>
      </c>
      <c r="D560" s="17" t="s">
        <v>1172</v>
      </c>
      <c r="E560" s="15">
        <v>13.0</v>
      </c>
      <c r="F560" s="20" t="s">
        <v>94</v>
      </c>
    </row>
    <row r="561" ht="15.75" customHeight="1">
      <c r="A561" s="14" t="s">
        <v>92</v>
      </c>
      <c r="B561" s="16" t="s">
        <v>93</v>
      </c>
      <c r="C561" s="16" t="s">
        <v>97</v>
      </c>
      <c r="D561" s="17" t="s">
        <v>1184</v>
      </c>
      <c r="E561" s="15">
        <v>9.0</v>
      </c>
      <c r="F561" s="20" t="s">
        <v>94</v>
      </c>
    </row>
    <row r="562" ht="15.75" customHeight="1">
      <c r="A562" s="14" t="s">
        <v>92</v>
      </c>
      <c r="B562" s="16" t="s">
        <v>93</v>
      </c>
      <c r="C562" s="16" t="s">
        <v>97</v>
      </c>
      <c r="D562" s="17" t="s">
        <v>1693</v>
      </c>
      <c r="E562" s="15">
        <v>2.0</v>
      </c>
      <c r="F562" s="20" t="s">
        <v>94</v>
      </c>
    </row>
    <row r="563" ht="15.75" customHeight="1">
      <c r="A563" s="14" t="s">
        <v>92</v>
      </c>
      <c r="B563" s="16" t="s">
        <v>93</v>
      </c>
      <c r="C563" s="16" t="s">
        <v>97</v>
      </c>
      <c r="D563" s="17" t="s">
        <v>1723</v>
      </c>
      <c r="E563" s="15">
        <v>2.0</v>
      </c>
      <c r="F563" s="20" t="s">
        <v>94</v>
      </c>
    </row>
    <row r="564" ht="15.75" customHeight="1">
      <c r="A564" s="14" t="s">
        <v>92</v>
      </c>
      <c r="B564" s="16" t="s">
        <v>93</v>
      </c>
      <c r="C564" s="16" t="s">
        <v>97</v>
      </c>
      <c r="D564" s="17" t="s">
        <v>1732</v>
      </c>
      <c r="E564" s="15">
        <v>1.0</v>
      </c>
      <c r="F564" s="20" t="s">
        <v>94</v>
      </c>
    </row>
    <row r="565" ht="15.75" customHeight="1">
      <c r="A565" s="14" t="s">
        <v>92</v>
      </c>
      <c r="B565" s="16" t="s">
        <v>93</v>
      </c>
      <c r="C565" s="16" t="s">
        <v>97</v>
      </c>
      <c r="D565" s="17" t="s">
        <v>1198</v>
      </c>
      <c r="E565" s="15">
        <v>4430.0</v>
      </c>
      <c r="F565" s="20" t="s">
        <v>94</v>
      </c>
    </row>
    <row r="566" ht="15.75" customHeight="1">
      <c r="A566" s="14" t="s">
        <v>92</v>
      </c>
      <c r="B566" s="16" t="s">
        <v>93</v>
      </c>
      <c r="C566" s="16" t="s">
        <v>97</v>
      </c>
      <c r="D566" s="17" t="s">
        <v>1211</v>
      </c>
      <c r="E566" s="15">
        <v>3224.0</v>
      </c>
      <c r="F566" s="20" t="s">
        <v>94</v>
      </c>
    </row>
    <row r="567" ht="15.75" customHeight="1">
      <c r="A567" s="14" t="s">
        <v>92</v>
      </c>
      <c r="B567" s="16" t="s">
        <v>93</v>
      </c>
      <c r="C567" s="16" t="s">
        <v>97</v>
      </c>
      <c r="D567" s="17" t="s">
        <v>1218</v>
      </c>
      <c r="E567" s="15">
        <v>138.0</v>
      </c>
      <c r="F567" s="20" t="s">
        <v>94</v>
      </c>
    </row>
    <row r="568" ht="15.75" customHeight="1">
      <c r="A568" s="14" t="s">
        <v>92</v>
      </c>
      <c r="B568" s="16" t="s">
        <v>93</v>
      </c>
      <c r="C568" s="16" t="s">
        <v>97</v>
      </c>
      <c r="D568" s="17" t="s">
        <v>1223</v>
      </c>
      <c r="E568" s="15">
        <v>27.0</v>
      </c>
      <c r="F568" s="20" t="s">
        <v>94</v>
      </c>
    </row>
    <row r="569" ht="15.75" customHeight="1">
      <c r="A569" s="14" t="s">
        <v>92</v>
      </c>
      <c r="B569" s="16" t="s">
        <v>93</v>
      </c>
      <c r="C569" s="16" t="s">
        <v>97</v>
      </c>
      <c r="D569" s="17" t="s">
        <v>1823</v>
      </c>
      <c r="E569" s="15">
        <v>1.0</v>
      </c>
      <c r="F569" s="20" t="s">
        <v>94</v>
      </c>
    </row>
    <row r="570" ht="15.75" customHeight="1">
      <c r="A570" s="14" t="s">
        <v>92</v>
      </c>
      <c r="B570" s="16" t="s">
        <v>93</v>
      </c>
      <c r="C570" s="16" t="s">
        <v>97</v>
      </c>
      <c r="D570" s="17" t="s">
        <v>1843</v>
      </c>
      <c r="E570" s="15">
        <v>1.0</v>
      </c>
      <c r="F570" s="20" t="s">
        <v>94</v>
      </c>
    </row>
    <row r="571" ht="15.75" customHeight="1">
      <c r="A571" s="14" t="s">
        <v>92</v>
      </c>
      <c r="B571" s="16" t="s">
        <v>93</v>
      </c>
      <c r="C571" s="16" t="s">
        <v>97</v>
      </c>
      <c r="D571" s="17" t="s">
        <v>1231</v>
      </c>
      <c r="E571" s="15">
        <v>3490.0</v>
      </c>
      <c r="F571" s="20" t="s">
        <v>94</v>
      </c>
    </row>
    <row r="572" ht="15.75" customHeight="1">
      <c r="A572" s="14" t="s">
        <v>92</v>
      </c>
      <c r="B572" s="16" t="s">
        <v>93</v>
      </c>
      <c r="C572" s="16" t="s">
        <v>97</v>
      </c>
      <c r="D572" s="17" t="s">
        <v>1241</v>
      </c>
      <c r="E572" s="15">
        <v>2856.0</v>
      </c>
      <c r="F572" s="20" t="s">
        <v>94</v>
      </c>
    </row>
    <row r="573" ht="15.75" customHeight="1">
      <c r="A573" s="14" t="s">
        <v>92</v>
      </c>
      <c r="B573" s="16" t="s">
        <v>93</v>
      </c>
      <c r="C573" s="16" t="s">
        <v>97</v>
      </c>
      <c r="D573" s="17" t="s">
        <v>1248</v>
      </c>
      <c r="E573" s="15">
        <v>84.0</v>
      </c>
      <c r="F573" s="20" t="s">
        <v>94</v>
      </c>
    </row>
    <row r="574" ht="15.75" customHeight="1">
      <c r="A574" s="14" t="s">
        <v>92</v>
      </c>
      <c r="B574" s="16" t="s">
        <v>93</v>
      </c>
      <c r="C574" s="16" t="s">
        <v>97</v>
      </c>
      <c r="D574" s="17" t="s">
        <v>1262</v>
      </c>
      <c r="E574" s="15">
        <v>12.0</v>
      </c>
      <c r="F574" s="20" t="s">
        <v>94</v>
      </c>
    </row>
    <row r="575" ht="15.75" customHeight="1">
      <c r="A575" s="14" t="s">
        <v>92</v>
      </c>
      <c r="B575" s="16" t="s">
        <v>93</v>
      </c>
      <c r="C575" s="16" t="s">
        <v>97</v>
      </c>
      <c r="D575" s="17" t="s">
        <v>1269</v>
      </c>
      <c r="E575" s="15">
        <v>5.0</v>
      </c>
      <c r="F575" s="20" t="s">
        <v>94</v>
      </c>
    </row>
    <row r="576" ht="15.75" customHeight="1">
      <c r="A576" s="14" t="s">
        <v>92</v>
      </c>
      <c r="B576" s="16" t="s">
        <v>93</v>
      </c>
      <c r="C576" s="16" t="s">
        <v>97</v>
      </c>
      <c r="D576" s="17" t="s">
        <v>1279</v>
      </c>
      <c r="E576" s="15">
        <v>7.0</v>
      </c>
      <c r="F576" s="20" t="s">
        <v>94</v>
      </c>
    </row>
    <row r="577" ht="15.75" customHeight="1">
      <c r="A577" s="14" t="s">
        <v>92</v>
      </c>
      <c r="B577" s="16" t="s">
        <v>93</v>
      </c>
      <c r="C577" s="16" t="s">
        <v>97</v>
      </c>
      <c r="D577" s="17" t="s">
        <v>1285</v>
      </c>
      <c r="E577" s="15">
        <v>3010.0</v>
      </c>
      <c r="F577" s="20" t="s">
        <v>94</v>
      </c>
    </row>
    <row r="578" ht="15.75" customHeight="1">
      <c r="A578" s="14" t="s">
        <v>92</v>
      </c>
      <c r="B578" s="16" t="s">
        <v>93</v>
      </c>
      <c r="C578" s="16" t="s">
        <v>97</v>
      </c>
      <c r="D578" s="17" t="s">
        <v>1321</v>
      </c>
      <c r="E578" s="15">
        <v>2635.0</v>
      </c>
      <c r="F578" s="20" t="s">
        <v>94</v>
      </c>
    </row>
    <row r="579" ht="15.75" customHeight="1">
      <c r="A579" s="14" t="s">
        <v>92</v>
      </c>
      <c r="B579" s="16" t="s">
        <v>93</v>
      </c>
      <c r="C579" s="16" t="s">
        <v>97</v>
      </c>
      <c r="D579" s="17" t="s">
        <v>1899</v>
      </c>
      <c r="E579" s="15">
        <v>64.0</v>
      </c>
      <c r="F579" s="20" t="s">
        <v>94</v>
      </c>
    </row>
    <row r="580" ht="15.75" customHeight="1">
      <c r="A580" s="14" t="s">
        <v>92</v>
      </c>
      <c r="B580" s="16" t="s">
        <v>93</v>
      </c>
      <c r="C580" s="16" t="s">
        <v>97</v>
      </c>
      <c r="D580" s="17" t="s">
        <v>1900</v>
      </c>
      <c r="E580" s="15">
        <v>2.0</v>
      </c>
      <c r="F580" s="20" t="s">
        <v>94</v>
      </c>
    </row>
    <row r="581" ht="15.75" customHeight="1">
      <c r="A581" s="14" t="s">
        <v>92</v>
      </c>
      <c r="B581" s="16" t="s">
        <v>93</v>
      </c>
      <c r="C581" s="16" t="s">
        <v>97</v>
      </c>
      <c r="D581" s="17" t="s">
        <v>1902</v>
      </c>
      <c r="E581" s="15">
        <v>1.0</v>
      </c>
      <c r="F581" s="20" t="s">
        <v>94</v>
      </c>
    </row>
    <row r="582" ht="15.75" customHeight="1">
      <c r="A582" s="14" t="s">
        <v>92</v>
      </c>
      <c r="B582" s="16" t="s">
        <v>93</v>
      </c>
      <c r="C582" s="16" t="s">
        <v>97</v>
      </c>
      <c r="D582" s="17" t="s">
        <v>1904</v>
      </c>
      <c r="E582" s="15">
        <v>1.0</v>
      </c>
      <c r="F582" s="20" t="s">
        <v>94</v>
      </c>
    </row>
    <row r="583" ht="15.75" customHeight="1">
      <c r="A583" s="14" t="s">
        <v>92</v>
      </c>
      <c r="B583" s="16" t="s">
        <v>93</v>
      </c>
      <c r="C583" s="16" t="s">
        <v>97</v>
      </c>
      <c r="D583" s="17" t="s">
        <v>1331</v>
      </c>
      <c r="E583" s="15">
        <v>2758.0</v>
      </c>
      <c r="F583" s="20" t="s">
        <v>94</v>
      </c>
    </row>
    <row r="584" ht="15.75" customHeight="1">
      <c r="A584" s="14" t="s">
        <v>92</v>
      </c>
      <c r="B584" s="16" t="s">
        <v>93</v>
      </c>
      <c r="C584" s="16" t="s">
        <v>97</v>
      </c>
      <c r="D584" s="17" t="s">
        <v>1354</v>
      </c>
      <c r="E584" s="15">
        <v>2510.0</v>
      </c>
      <c r="F584" s="20" t="s">
        <v>94</v>
      </c>
    </row>
    <row r="585" ht="15.75" customHeight="1">
      <c r="A585" s="14" t="s">
        <v>92</v>
      </c>
      <c r="B585" s="16" t="s">
        <v>93</v>
      </c>
      <c r="C585" s="16" t="s">
        <v>97</v>
      </c>
      <c r="D585" s="17" t="s">
        <v>1907</v>
      </c>
      <c r="E585" s="15">
        <v>58.0</v>
      </c>
      <c r="F585" s="20" t="s">
        <v>94</v>
      </c>
    </row>
    <row r="586" ht="15.75" customHeight="1">
      <c r="A586" s="14" t="s">
        <v>92</v>
      </c>
      <c r="B586" s="16" t="s">
        <v>93</v>
      </c>
      <c r="C586" s="16" t="s">
        <v>97</v>
      </c>
      <c r="D586" s="17" t="s">
        <v>1909</v>
      </c>
      <c r="E586" s="15">
        <v>2.0</v>
      </c>
      <c r="F586" s="20" t="s">
        <v>94</v>
      </c>
    </row>
    <row r="587" ht="15.75" customHeight="1">
      <c r="A587" s="14" t="s">
        <v>92</v>
      </c>
      <c r="B587" s="16" t="s">
        <v>93</v>
      </c>
      <c r="C587" s="16" t="s">
        <v>97</v>
      </c>
      <c r="D587" s="17" t="s">
        <v>1361</v>
      </c>
      <c r="E587" s="15">
        <v>2602.0</v>
      </c>
      <c r="F587" s="20" t="s">
        <v>94</v>
      </c>
    </row>
    <row r="588" ht="15.75" customHeight="1">
      <c r="A588" s="14" t="s">
        <v>92</v>
      </c>
      <c r="B588" s="16" t="s">
        <v>93</v>
      </c>
      <c r="C588" s="16" t="s">
        <v>97</v>
      </c>
      <c r="D588" s="17" t="s">
        <v>1368</v>
      </c>
      <c r="E588" s="15">
        <v>2431.0</v>
      </c>
      <c r="F588" s="20" t="s">
        <v>94</v>
      </c>
    </row>
    <row r="589" ht="15.75" customHeight="1">
      <c r="A589" s="14" t="s">
        <v>92</v>
      </c>
      <c r="B589" s="16" t="s">
        <v>93</v>
      </c>
      <c r="C589" s="16" t="s">
        <v>97</v>
      </c>
      <c r="D589" s="17" t="s">
        <v>1913</v>
      </c>
      <c r="E589" s="15">
        <v>58.0</v>
      </c>
      <c r="F589" s="20" t="s">
        <v>94</v>
      </c>
    </row>
    <row r="590" ht="15.75" customHeight="1">
      <c r="A590" s="14" t="s">
        <v>92</v>
      </c>
      <c r="B590" s="16" t="s">
        <v>93</v>
      </c>
      <c r="C590" s="16" t="s">
        <v>97</v>
      </c>
      <c r="D590" s="17" t="s">
        <v>1914</v>
      </c>
      <c r="E590" s="15">
        <v>1.0</v>
      </c>
      <c r="F590" s="20" t="s">
        <v>94</v>
      </c>
    </row>
    <row r="591" ht="15.75" customHeight="1">
      <c r="A591" s="14" t="s">
        <v>92</v>
      </c>
      <c r="B591" s="16" t="s">
        <v>93</v>
      </c>
      <c r="C591" s="16" t="s">
        <v>97</v>
      </c>
      <c r="D591" s="17" t="s">
        <v>1370</v>
      </c>
      <c r="E591" s="15">
        <v>2495.0</v>
      </c>
      <c r="F591" s="20" t="s">
        <v>94</v>
      </c>
    </row>
    <row r="592" ht="15.75" customHeight="1">
      <c r="A592" s="14" t="s">
        <v>92</v>
      </c>
      <c r="B592" s="16" t="s">
        <v>93</v>
      </c>
      <c r="C592" s="16" t="s">
        <v>97</v>
      </c>
      <c r="D592" s="17" t="s">
        <v>1375</v>
      </c>
      <c r="E592" s="15">
        <v>2357.0</v>
      </c>
      <c r="F592" s="20" t="s">
        <v>94</v>
      </c>
    </row>
    <row r="593" ht="15.75" customHeight="1">
      <c r="A593" s="14" t="s">
        <v>92</v>
      </c>
      <c r="B593" s="16" t="s">
        <v>93</v>
      </c>
      <c r="C593" s="16" t="s">
        <v>97</v>
      </c>
      <c r="D593" s="17" t="s">
        <v>1916</v>
      </c>
      <c r="E593" s="15">
        <v>44.0</v>
      </c>
      <c r="F593" s="20" t="s">
        <v>94</v>
      </c>
    </row>
    <row r="594" ht="15.75" customHeight="1">
      <c r="A594" s="14" t="s">
        <v>92</v>
      </c>
      <c r="B594" s="16" t="s">
        <v>93</v>
      </c>
      <c r="C594" s="16" t="s">
        <v>97</v>
      </c>
      <c r="D594" s="17" t="s">
        <v>1919</v>
      </c>
      <c r="E594" s="15">
        <v>3.0</v>
      </c>
      <c r="F594" s="20" t="s">
        <v>94</v>
      </c>
    </row>
    <row r="595" ht="15.75" customHeight="1">
      <c r="A595" s="14" t="s">
        <v>92</v>
      </c>
      <c r="B595" s="16" t="s">
        <v>93</v>
      </c>
      <c r="C595" s="16" t="s">
        <v>97</v>
      </c>
      <c r="D595" s="17" t="s">
        <v>1921</v>
      </c>
      <c r="E595" s="15">
        <v>1.0</v>
      </c>
      <c r="F595" s="20" t="s">
        <v>94</v>
      </c>
    </row>
    <row r="596" ht="15.75" customHeight="1">
      <c r="A596" s="14" t="s">
        <v>92</v>
      </c>
      <c r="B596" s="16" t="s">
        <v>93</v>
      </c>
      <c r="C596" s="16" t="s">
        <v>97</v>
      </c>
      <c r="D596" s="17" t="s">
        <v>1922</v>
      </c>
      <c r="E596" s="15">
        <v>1.0</v>
      </c>
      <c r="F596" s="20" t="s">
        <v>94</v>
      </c>
    </row>
    <row r="597" ht="15.75" customHeight="1">
      <c r="A597" s="14" t="s">
        <v>92</v>
      </c>
      <c r="B597" s="16" t="s">
        <v>93</v>
      </c>
      <c r="C597" s="16" t="s">
        <v>97</v>
      </c>
      <c r="D597" s="17" t="s">
        <v>1924</v>
      </c>
      <c r="E597" s="15">
        <v>1.0</v>
      </c>
      <c r="F597" s="20" t="s">
        <v>94</v>
      </c>
    </row>
    <row r="598" ht="15.75" customHeight="1">
      <c r="A598" s="14" t="s">
        <v>92</v>
      </c>
      <c r="B598" s="16" t="s">
        <v>93</v>
      </c>
      <c r="C598" s="16" t="s">
        <v>97</v>
      </c>
      <c r="D598" s="17" t="s">
        <v>1926</v>
      </c>
      <c r="E598" s="15">
        <v>1.0</v>
      </c>
      <c r="F598" s="20" t="s">
        <v>94</v>
      </c>
    </row>
    <row r="599" ht="15.75" customHeight="1">
      <c r="A599" s="14" t="s">
        <v>92</v>
      </c>
      <c r="B599" s="16" t="s">
        <v>93</v>
      </c>
      <c r="C599" s="16" t="s">
        <v>97</v>
      </c>
      <c r="D599" s="17" t="s">
        <v>1929</v>
      </c>
      <c r="E599" s="15">
        <v>1.0</v>
      </c>
      <c r="F599" s="20" t="s">
        <v>94</v>
      </c>
    </row>
    <row r="600" ht="15.75" customHeight="1">
      <c r="A600" s="14" t="s">
        <v>92</v>
      </c>
      <c r="B600" s="16" t="s">
        <v>93</v>
      </c>
      <c r="C600" s="16" t="s">
        <v>97</v>
      </c>
      <c r="D600" s="17" t="s">
        <v>1931</v>
      </c>
      <c r="E600" s="15">
        <v>1.0</v>
      </c>
      <c r="F600" s="20" t="s">
        <v>94</v>
      </c>
    </row>
    <row r="601" ht="15.75" customHeight="1">
      <c r="A601" s="14" t="s">
        <v>92</v>
      </c>
      <c r="B601" s="16" t="s">
        <v>93</v>
      </c>
      <c r="C601" s="16" t="s">
        <v>97</v>
      </c>
      <c r="D601" s="17" t="s">
        <v>1379</v>
      </c>
      <c r="E601" s="15">
        <v>2403.0</v>
      </c>
      <c r="F601" s="20" t="s">
        <v>94</v>
      </c>
    </row>
    <row r="602" ht="15.75" customHeight="1">
      <c r="A602" s="14" t="s">
        <v>92</v>
      </c>
      <c r="B602" s="16" t="s">
        <v>93</v>
      </c>
      <c r="C602" s="16" t="s">
        <v>97</v>
      </c>
      <c r="D602" s="17" t="s">
        <v>887</v>
      </c>
      <c r="E602" s="15">
        <v>7830.0</v>
      </c>
      <c r="F602" s="20" t="s">
        <v>94</v>
      </c>
    </row>
    <row r="603" ht="15.75" customHeight="1">
      <c r="A603" s="14" t="s">
        <v>92</v>
      </c>
      <c r="B603" s="16" t="s">
        <v>93</v>
      </c>
      <c r="C603" s="16" t="s">
        <v>97</v>
      </c>
      <c r="D603" s="17" t="s">
        <v>840</v>
      </c>
      <c r="E603" s="15">
        <v>3.0</v>
      </c>
      <c r="F603" s="20" t="s">
        <v>94</v>
      </c>
    </row>
    <row r="604" ht="15.75" customHeight="1">
      <c r="A604" s="14" t="s">
        <v>92</v>
      </c>
      <c r="B604" s="16" t="s">
        <v>93</v>
      </c>
      <c r="C604" s="16" t="s">
        <v>79</v>
      </c>
      <c r="D604" s="17" t="s">
        <v>95</v>
      </c>
      <c r="E604" s="15">
        <v>2.0</v>
      </c>
      <c r="F604" s="20" t="s">
        <v>94</v>
      </c>
    </row>
    <row r="605" ht="15.75" customHeight="1">
      <c r="A605" s="14" t="s">
        <v>92</v>
      </c>
      <c r="B605" s="16" t="s">
        <v>93</v>
      </c>
      <c r="C605" s="16" t="s">
        <v>79</v>
      </c>
      <c r="D605" s="17" t="s">
        <v>81</v>
      </c>
      <c r="E605" s="15">
        <v>3.0</v>
      </c>
      <c r="F605" s="20" t="s">
        <v>94</v>
      </c>
    </row>
    <row r="606" ht="15.75" customHeight="1">
      <c r="A606" s="14" t="s">
        <v>116</v>
      </c>
      <c r="B606" s="16" t="s">
        <v>118</v>
      </c>
      <c r="C606" s="16" t="s">
        <v>46</v>
      </c>
      <c r="D606" s="17" t="s">
        <v>1938</v>
      </c>
      <c r="E606" s="15">
        <v>1893.0</v>
      </c>
      <c r="F606" s="20" t="s">
        <v>120</v>
      </c>
    </row>
    <row r="607" ht="15.75" customHeight="1">
      <c r="A607" s="14" t="s">
        <v>116</v>
      </c>
      <c r="B607" s="16" t="s">
        <v>118</v>
      </c>
      <c r="C607" s="16" t="s">
        <v>114</v>
      </c>
      <c r="D607" s="17" t="s">
        <v>664</v>
      </c>
      <c r="E607" s="15">
        <v>836.0</v>
      </c>
      <c r="F607" s="20" t="s">
        <v>120</v>
      </c>
    </row>
    <row r="608" ht="15.75" customHeight="1">
      <c r="A608" s="14" t="s">
        <v>116</v>
      </c>
      <c r="B608" s="16" t="s">
        <v>118</v>
      </c>
      <c r="C608" s="16" t="s">
        <v>114</v>
      </c>
      <c r="D608" s="17" t="s">
        <v>652</v>
      </c>
      <c r="E608" s="15">
        <v>64.0</v>
      </c>
      <c r="F608" s="20" t="s">
        <v>120</v>
      </c>
    </row>
    <row r="609" ht="15.75" customHeight="1">
      <c r="A609" s="14" t="s">
        <v>116</v>
      </c>
      <c r="B609" s="16" t="s">
        <v>118</v>
      </c>
      <c r="C609" s="16" t="s">
        <v>114</v>
      </c>
      <c r="D609" s="17" t="s">
        <v>1941</v>
      </c>
      <c r="E609" s="15">
        <v>271.0</v>
      </c>
      <c r="F609" s="20" t="s">
        <v>120</v>
      </c>
    </row>
    <row r="610" ht="15.75" customHeight="1">
      <c r="A610" s="14" t="s">
        <v>116</v>
      </c>
      <c r="B610" s="16" t="s">
        <v>118</v>
      </c>
      <c r="C610" s="16" t="s">
        <v>97</v>
      </c>
      <c r="D610" s="17" t="s">
        <v>664</v>
      </c>
      <c r="E610" s="15">
        <v>845.0</v>
      </c>
      <c r="F610" s="20" t="s">
        <v>120</v>
      </c>
    </row>
    <row r="611" ht="15.75" customHeight="1">
      <c r="A611" s="14" t="s">
        <v>116</v>
      </c>
      <c r="B611" s="16" t="s">
        <v>118</v>
      </c>
      <c r="C611" s="16" t="s">
        <v>97</v>
      </c>
      <c r="D611" s="17" t="s">
        <v>1938</v>
      </c>
      <c r="E611" s="15">
        <v>2293.0</v>
      </c>
      <c r="F611" s="20" t="s">
        <v>120</v>
      </c>
    </row>
    <row r="612" ht="15.75" customHeight="1">
      <c r="A612" s="14" t="s">
        <v>116</v>
      </c>
      <c r="B612" s="16" t="s">
        <v>118</v>
      </c>
      <c r="C612" s="16" t="s">
        <v>97</v>
      </c>
      <c r="D612" s="17" t="s">
        <v>652</v>
      </c>
      <c r="E612" s="15">
        <v>64.0</v>
      </c>
      <c r="F612" s="20" t="s">
        <v>120</v>
      </c>
    </row>
    <row r="613" ht="15.75" customHeight="1">
      <c r="A613" s="14" t="s">
        <v>116</v>
      </c>
      <c r="B613" s="16" t="s">
        <v>118</v>
      </c>
      <c r="C613" s="16" t="s">
        <v>97</v>
      </c>
      <c r="D613" s="17" t="s">
        <v>1941</v>
      </c>
      <c r="E613" s="15">
        <v>273.0</v>
      </c>
      <c r="F613" s="20" t="s">
        <v>120</v>
      </c>
    </row>
    <row r="614" ht="15.75" customHeight="1">
      <c r="A614" s="14" t="s">
        <v>116</v>
      </c>
      <c r="B614" s="16" t="s">
        <v>118</v>
      </c>
      <c r="C614" s="16" t="s">
        <v>79</v>
      </c>
      <c r="D614" s="17" t="s">
        <v>1938</v>
      </c>
      <c r="E614" s="15">
        <v>2313.0</v>
      </c>
      <c r="F614" s="20" t="s">
        <v>120</v>
      </c>
    </row>
    <row r="615" ht="15.75" customHeight="1">
      <c r="A615" s="14" t="s">
        <v>226</v>
      </c>
      <c r="B615" s="16" t="s">
        <v>228</v>
      </c>
      <c r="C615" s="16" t="s">
        <v>97</v>
      </c>
      <c r="D615" s="17" t="s">
        <v>887</v>
      </c>
      <c r="E615" s="15">
        <v>530.0</v>
      </c>
      <c r="F615" s="20" t="s">
        <v>229</v>
      </c>
    </row>
    <row r="616" ht="15.75" customHeight="1">
      <c r="A616" s="14" t="s">
        <v>297</v>
      </c>
      <c r="B616" s="16" t="s">
        <v>228</v>
      </c>
      <c r="C616" s="16" t="s">
        <v>97</v>
      </c>
      <c r="D616" s="17" t="s">
        <v>893</v>
      </c>
      <c r="E616" s="15">
        <v>26.0</v>
      </c>
      <c r="F616" s="20" t="s">
        <v>300</v>
      </c>
    </row>
    <row r="617" ht="15.75" customHeight="1">
      <c r="A617" s="14" t="s">
        <v>77</v>
      </c>
      <c r="B617" s="16" t="s">
        <v>51</v>
      </c>
      <c r="C617" s="16" t="s">
        <v>97</v>
      </c>
      <c r="D617" s="17" t="s">
        <v>909</v>
      </c>
      <c r="E617" s="15">
        <v>17.0</v>
      </c>
      <c r="F617" s="20" t="s">
        <v>83</v>
      </c>
    </row>
    <row r="618" ht="15.75" customHeight="1">
      <c r="A618" s="14" t="s">
        <v>77</v>
      </c>
      <c r="B618" s="16" t="s">
        <v>51</v>
      </c>
      <c r="C618" s="16" t="s">
        <v>97</v>
      </c>
      <c r="D618" s="17" t="s">
        <v>1464</v>
      </c>
      <c r="E618" s="15">
        <v>2.0</v>
      </c>
      <c r="F618" s="20" t="s">
        <v>83</v>
      </c>
    </row>
    <row r="619" ht="15.75" customHeight="1">
      <c r="A619" s="14" t="s">
        <v>77</v>
      </c>
      <c r="B619" s="16" t="s">
        <v>51</v>
      </c>
      <c r="C619" s="16" t="s">
        <v>97</v>
      </c>
      <c r="D619" s="17" t="s">
        <v>1953</v>
      </c>
      <c r="E619" s="15">
        <v>30.0</v>
      </c>
      <c r="F619" s="20" t="s">
        <v>83</v>
      </c>
    </row>
    <row r="620" ht="15.75" customHeight="1">
      <c r="A620" s="14" t="s">
        <v>77</v>
      </c>
      <c r="B620" s="16" t="s">
        <v>51</v>
      </c>
      <c r="C620" s="16" t="s">
        <v>97</v>
      </c>
      <c r="D620" s="17" t="s">
        <v>1954</v>
      </c>
      <c r="E620" s="15">
        <v>2.0</v>
      </c>
      <c r="F620" s="20" t="s">
        <v>83</v>
      </c>
    </row>
    <row r="621" ht="15.75" customHeight="1">
      <c r="A621" s="14" t="s">
        <v>77</v>
      </c>
      <c r="B621" s="16" t="s">
        <v>51</v>
      </c>
      <c r="C621" s="16" t="s">
        <v>97</v>
      </c>
      <c r="D621" s="17" t="s">
        <v>1956</v>
      </c>
      <c r="E621" s="15">
        <v>2.0</v>
      </c>
      <c r="F621" s="20" t="s">
        <v>83</v>
      </c>
    </row>
    <row r="622" ht="15.75" customHeight="1">
      <c r="A622" s="14" t="s">
        <v>77</v>
      </c>
      <c r="B622" s="16" t="s">
        <v>51</v>
      </c>
      <c r="C622" s="16" t="s">
        <v>97</v>
      </c>
      <c r="D622" s="17" t="s">
        <v>1612</v>
      </c>
      <c r="E622" s="15">
        <v>44.0</v>
      </c>
      <c r="F622" s="20" t="s">
        <v>83</v>
      </c>
    </row>
    <row r="623" ht="15.75" customHeight="1">
      <c r="A623" s="14" t="s">
        <v>77</v>
      </c>
      <c r="B623" s="16" t="s">
        <v>51</v>
      </c>
      <c r="C623" s="16" t="s">
        <v>97</v>
      </c>
      <c r="D623" s="17" t="s">
        <v>1958</v>
      </c>
      <c r="E623" s="15">
        <v>44.0</v>
      </c>
      <c r="F623" s="20" t="s">
        <v>83</v>
      </c>
    </row>
    <row r="624" ht="15.75" customHeight="1">
      <c r="A624" s="14" t="s">
        <v>77</v>
      </c>
      <c r="B624" s="16" t="s">
        <v>51</v>
      </c>
      <c r="C624" s="16" t="s">
        <v>97</v>
      </c>
      <c r="D624" s="17" t="s">
        <v>1960</v>
      </c>
      <c r="E624" s="15">
        <v>34.0</v>
      </c>
      <c r="F624" s="20" t="s">
        <v>83</v>
      </c>
    </row>
    <row r="625" ht="15.75" customHeight="1">
      <c r="A625" s="14" t="s">
        <v>77</v>
      </c>
      <c r="B625" s="16" t="s">
        <v>51</v>
      </c>
      <c r="C625" s="16" t="s">
        <v>97</v>
      </c>
      <c r="D625" s="17" t="s">
        <v>1819</v>
      </c>
      <c r="E625" s="15">
        <v>44.0</v>
      </c>
      <c r="F625" s="20" t="s">
        <v>83</v>
      </c>
    </row>
    <row r="626" ht="15.75" customHeight="1">
      <c r="A626" s="14" t="s">
        <v>77</v>
      </c>
      <c r="B626" s="16" t="s">
        <v>51</v>
      </c>
      <c r="C626" s="16" t="s">
        <v>97</v>
      </c>
      <c r="D626" s="17" t="s">
        <v>1963</v>
      </c>
      <c r="E626" s="15">
        <v>6.0</v>
      </c>
      <c r="F626" s="20" t="s">
        <v>83</v>
      </c>
    </row>
    <row r="627" ht="15.75" customHeight="1">
      <c r="A627" s="14" t="s">
        <v>77</v>
      </c>
      <c r="B627" s="16" t="s">
        <v>51</v>
      </c>
      <c r="C627" s="16" t="s">
        <v>97</v>
      </c>
      <c r="D627" s="17" t="s">
        <v>1966</v>
      </c>
      <c r="E627" s="15">
        <v>6.0</v>
      </c>
      <c r="F627" s="20" t="s">
        <v>83</v>
      </c>
    </row>
    <row r="628" ht="15.75" customHeight="1">
      <c r="A628" s="14" t="s">
        <v>77</v>
      </c>
      <c r="B628" s="16" t="s">
        <v>51</v>
      </c>
      <c r="C628" s="16" t="s">
        <v>97</v>
      </c>
      <c r="D628" s="17" t="s">
        <v>1967</v>
      </c>
      <c r="E628" s="15">
        <v>6.0</v>
      </c>
      <c r="F628" s="20" t="s">
        <v>83</v>
      </c>
    </row>
    <row r="629" ht="15.75" customHeight="1">
      <c r="A629" s="14" t="s">
        <v>77</v>
      </c>
      <c r="B629" s="16" t="s">
        <v>51</v>
      </c>
      <c r="C629" s="16" t="s">
        <v>97</v>
      </c>
      <c r="D629" s="17" t="s">
        <v>1968</v>
      </c>
      <c r="E629" s="15">
        <v>5.0</v>
      </c>
      <c r="F629" s="20" t="s">
        <v>83</v>
      </c>
    </row>
    <row r="630" ht="15.75" customHeight="1">
      <c r="A630" s="14" t="s">
        <v>77</v>
      </c>
      <c r="B630" s="16" t="s">
        <v>51</v>
      </c>
      <c r="C630" s="16" t="s">
        <v>97</v>
      </c>
      <c r="D630" s="17" t="s">
        <v>1017</v>
      </c>
      <c r="E630" s="15">
        <v>5.0</v>
      </c>
      <c r="F630" s="20" t="s">
        <v>83</v>
      </c>
    </row>
    <row r="631" ht="15.75" customHeight="1">
      <c r="A631" s="14" t="s">
        <v>77</v>
      </c>
      <c r="B631" s="16" t="s">
        <v>51</v>
      </c>
      <c r="C631" s="16" t="s">
        <v>97</v>
      </c>
      <c r="D631" s="17" t="s">
        <v>1019</v>
      </c>
      <c r="E631" s="15">
        <v>5.0</v>
      </c>
      <c r="F631" s="20" t="s">
        <v>83</v>
      </c>
    </row>
    <row r="632" ht="15.75" customHeight="1">
      <c r="A632" s="14" t="s">
        <v>77</v>
      </c>
      <c r="B632" s="16" t="s">
        <v>51</v>
      </c>
      <c r="C632" s="16" t="s">
        <v>97</v>
      </c>
      <c r="D632" s="17" t="s">
        <v>1970</v>
      </c>
      <c r="E632" s="15">
        <v>2.0</v>
      </c>
      <c r="F632" s="20" t="s">
        <v>83</v>
      </c>
    </row>
    <row r="633" ht="15.75" customHeight="1">
      <c r="A633" s="14" t="s">
        <v>77</v>
      </c>
      <c r="B633" s="16" t="s">
        <v>51</v>
      </c>
      <c r="C633" s="16" t="s">
        <v>97</v>
      </c>
      <c r="D633" s="17" t="s">
        <v>1973</v>
      </c>
      <c r="E633" s="15">
        <v>2.0</v>
      </c>
      <c r="F633" s="20" t="s">
        <v>83</v>
      </c>
    </row>
    <row r="634" ht="15.75" customHeight="1">
      <c r="A634" s="14" t="s">
        <v>77</v>
      </c>
      <c r="B634" s="16" t="s">
        <v>51</v>
      </c>
      <c r="C634" s="16" t="s">
        <v>97</v>
      </c>
      <c r="D634" s="17" t="s">
        <v>1974</v>
      </c>
      <c r="E634" s="15">
        <v>2.0</v>
      </c>
      <c r="F634" s="20" t="s">
        <v>83</v>
      </c>
    </row>
    <row r="635" ht="15.75" customHeight="1">
      <c r="A635" s="14" t="s">
        <v>77</v>
      </c>
      <c r="B635" s="16" t="s">
        <v>51</v>
      </c>
      <c r="C635" s="16" t="s">
        <v>97</v>
      </c>
      <c r="D635" s="17" t="s">
        <v>1976</v>
      </c>
      <c r="E635" s="15">
        <v>1.0</v>
      </c>
      <c r="F635" s="20" t="s">
        <v>83</v>
      </c>
    </row>
    <row r="636" ht="15.75" customHeight="1">
      <c r="A636" s="14" t="s">
        <v>77</v>
      </c>
      <c r="B636" s="16" t="s">
        <v>51</v>
      </c>
      <c r="C636" s="16" t="s">
        <v>97</v>
      </c>
      <c r="D636" s="17" t="s">
        <v>1977</v>
      </c>
      <c r="E636" s="15">
        <v>1.0</v>
      </c>
      <c r="F636" s="20" t="s">
        <v>83</v>
      </c>
    </row>
    <row r="637" ht="15.75" customHeight="1">
      <c r="A637" s="14" t="s">
        <v>77</v>
      </c>
      <c r="B637" s="16" t="s">
        <v>51</v>
      </c>
      <c r="C637" s="16" t="s">
        <v>97</v>
      </c>
      <c r="D637" s="17" t="s">
        <v>1979</v>
      </c>
      <c r="E637" s="15">
        <v>1.0</v>
      </c>
      <c r="F637" s="20" t="s">
        <v>83</v>
      </c>
    </row>
    <row r="638" ht="15.75" customHeight="1">
      <c r="A638" s="14" t="s">
        <v>77</v>
      </c>
      <c r="B638" s="16" t="s">
        <v>51</v>
      </c>
      <c r="C638" s="16" t="s">
        <v>97</v>
      </c>
      <c r="D638" s="17" t="s">
        <v>1981</v>
      </c>
      <c r="E638" s="15">
        <v>1.0</v>
      </c>
      <c r="F638" s="20" t="s">
        <v>83</v>
      </c>
    </row>
    <row r="639" ht="15.75" customHeight="1">
      <c r="A639" s="14" t="s">
        <v>77</v>
      </c>
      <c r="B639" s="16" t="s">
        <v>51</v>
      </c>
      <c r="C639" s="16" t="s">
        <v>97</v>
      </c>
      <c r="D639" s="17" t="s">
        <v>1983</v>
      </c>
      <c r="E639" s="15">
        <v>1.0</v>
      </c>
      <c r="F639" s="20" t="s">
        <v>83</v>
      </c>
    </row>
    <row r="640" ht="15.75" customHeight="1">
      <c r="A640" s="14" t="s">
        <v>77</v>
      </c>
      <c r="B640" s="16" t="s">
        <v>51</v>
      </c>
      <c r="C640" s="16" t="s">
        <v>97</v>
      </c>
      <c r="D640" s="17" t="s">
        <v>1984</v>
      </c>
      <c r="E640" s="15">
        <v>1.0</v>
      </c>
      <c r="F640" s="20" t="s">
        <v>83</v>
      </c>
    </row>
    <row r="641" ht="15.75" customHeight="1">
      <c r="A641" s="14" t="s">
        <v>77</v>
      </c>
      <c r="B641" s="16" t="s">
        <v>51</v>
      </c>
      <c r="C641" s="16" t="s">
        <v>97</v>
      </c>
      <c r="D641" s="17" t="s">
        <v>1985</v>
      </c>
      <c r="E641" s="15">
        <v>1.0</v>
      </c>
      <c r="F641" s="20" t="s">
        <v>83</v>
      </c>
    </row>
    <row r="642" ht="15.75" customHeight="1">
      <c r="A642" s="14" t="s">
        <v>77</v>
      </c>
      <c r="B642" s="16" t="s">
        <v>51</v>
      </c>
      <c r="C642" s="16" t="s">
        <v>97</v>
      </c>
      <c r="D642" s="17" t="s">
        <v>1987</v>
      </c>
      <c r="E642" s="15">
        <v>1.0</v>
      </c>
      <c r="F642" s="20" t="s">
        <v>83</v>
      </c>
    </row>
    <row r="643" ht="15.75" customHeight="1">
      <c r="A643" s="14" t="s">
        <v>77</v>
      </c>
      <c r="B643" s="16" t="s">
        <v>51</v>
      </c>
      <c r="C643" s="16" t="s">
        <v>97</v>
      </c>
      <c r="D643" s="17" t="s">
        <v>1820</v>
      </c>
      <c r="E643" s="15">
        <v>1.0</v>
      </c>
      <c r="F643" s="20" t="s">
        <v>83</v>
      </c>
    </row>
    <row r="644" ht="15.75" customHeight="1">
      <c r="A644" s="14" t="s">
        <v>77</v>
      </c>
      <c r="B644" s="16" t="s">
        <v>51</v>
      </c>
      <c r="C644" s="16" t="s">
        <v>97</v>
      </c>
      <c r="D644" s="17" t="s">
        <v>1990</v>
      </c>
      <c r="E644" s="15">
        <v>0.0</v>
      </c>
      <c r="F644" s="20" t="s">
        <v>83</v>
      </c>
    </row>
    <row r="645" ht="15.75" customHeight="1">
      <c r="A645" s="14" t="s">
        <v>77</v>
      </c>
      <c r="B645" s="16" t="s">
        <v>51</v>
      </c>
      <c r="C645" s="16" t="s">
        <v>97</v>
      </c>
      <c r="D645" s="17" t="s">
        <v>1993</v>
      </c>
      <c r="E645" s="15">
        <v>3.0</v>
      </c>
      <c r="F645" s="20" t="s">
        <v>83</v>
      </c>
    </row>
    <row r="646" ht="15.75" customHeight="1">
      <c r="A646" s="14" t="s">
        <v>77</v>
      </c>
      <c r="B646" s="16" t="s">
        <v>51</v>
      </c>
      <c r="C646" s="16" t="s">
        <v>97</v>
      </c>
      <c r="D646" s="17" t="s">
        <v>1995</v>
      </c>
      <c r="E646" s="15">
        <v>12.0</v>
      </c>
      <c r="F646" s="20" t="s">
        <v>83</v>
      </c>
    </row>
    <row r="647" ht="15.75" customHeight="1">
      <c r="A647" s="14" t="s">
        <v>77</v>
      </c>
      <c r="B647" s="16" t="s">
        <v>51</v>
      </c>
      <c r="C647" s="16" t="s">
        <v>97</v>
      </c>
      <c r="D647" s="17" t="s">
        <v>1996</v>
      </c>
      <c r="E647" s="15">
        <v>5.0</v>
      </c>
      <c r="F647" s="20" t="s">
        <v>83</v>
      </c>
    </row>
    <row r="648" ht="15.75" customHeight="1">
      <c r="A648" s="14" t="s">
        <v>77</v>
      </c>
      <c r="B648" s="16" t="s">
        <v>51</v>
      </c>
      <c r="C648" s="16" t="s">
        <v>97</v>
      </c>
      <c r="D648" s="17" t="s">
        <v>1998</v>
      </c>
      <c r="E648" s="15">
        <v>3.0</v>
      </c>
      <c r="F648" s="20" t="s">
        <v>83</v>
      </c>
    </row>
    <row r="649" ht="15.75" customHeight="1">
      <c r="A649" s="14" t="s">
        <v>77</v>
      </c>
      <c r="B649" s="16" t="s">
        <v>51</v>
      </c>
      <c r="C649" s="16" t="s">
        <v>97</v>
      </c>
      <c r="D649" s="17" t="s">
        <v>1999</v>
      </c>
      <c r="E649" s="15">
        <v>1.0</v>
      </c>
      <c r="F649" s="20" t="s">
        <v>83</v>
      </c>
    </row>
    <row r="650" ht="15.75" customHeight="1">
      <c r="A650" s="14" t="s">
        <v>77</v>
      </c>
      <c r="B650" s="16" t="s">
        <v>51</v>
      </c>
      <c r="C650" s="16" t="s">
        <v>97</v>
      </c>
      <c r="D650" s="17" t="s">
        <v>2001</v>
      </c>
      <c r="E650" s="15">
        <v>1.0</v>
      </c>
      <c r="F650" s="20" t="s">
        <v>83</v>
      </c>
    </row>
    <row r="651" ht="15.75" customHeight="1">
      <c r="A651" s="14" t="s">
        <v>77</v>
      </c>
      <c r="B651" s="16" t="s">
        <v>51</v>
      </c>
      <c r="C651" s="16" t="s">
        <v>97</v>
      </c>
      <c r="D651" s="17" t="s">
        <v>2003</v>
      </c>
      <c r="E651" s="15">
        <v>1.0</v>
      </c>
      <c r="F651" s="20" t="s">
        <v>83</v>
      </c>
    </row>
    <row r="652" ht="15.75" customHeight="1">
      <c r="A652" s="14" t="s">
        <v>77</v>
      </c>
      <c r="B652" s="16" t="s">
        <v>51</v>
      </c>
      <c r="C652" s="16" t="s">
        <v>97</v>
      </c>
      <c r="D652" s="17" t="s">
        <v>1616</v>
      </c>
      <c r="E652" s="15">
        <v>21.0</v>
      </c>
      <c r="F652" s="20" t="s">
        <v>83</v>
      </c>
    </row>
    <row r="653" ht="15.75" customHeight="1">
      <c r="A653" s="14" t="s">
        <v>77</v>
      </c>
      <c r="B653" s="16" t="s">
        <v>51</v>
      </c>
      <c r="C653" s="16" t="s">
        <v>97</v>
      </c>
      <c r="D653" s="17" t="s">
        <v>2005</v>
      </c>
      <c r="E653" s="15">
        <v>21.0</v>
      </c>
      <c r="F653" s="20" t="s">
        <v>83</v>
      </c>
    </row>
    <row r="654" ht="15.75" customHeight="1">
      <c r="A654" s="14" t="s">
        <v>77</v>
      </c>
      <c r="B654" s="16" t="s">
        <v>51</v>
      </c>
      <c r="C654" s="16" t="s">
        <v>97</v>
      </c>
      <c r="D654" s="17" t="s">
        <v>2007</v>
      </c>
      <c r="E654" s="15">
        <v>11.0</v>
      </c>
      <c r="F654" s="20" t="s">
        <v>83</v>
      </c>
    </row>
    <row r="655" ht="15.75" customHeight="1">
      <c r="A655" s="14" t="s">
        <v>77</v>
      </c>
      <c r="B655" s="16" t="s">
        <v>51</v>
      </c>
      <c r="C655" s="16" t="s">
        <v>97</v>
      </c>
      <c r="D655" s="17" t="s">
        <v>1825</v>
      </c>
      <c r="E655" s="15">
        <v>21.0</v>
      </c>
      <c r="F655" s="20" t="s">
        <v>83</v>
      </c>
    </row>
    <row r="656" ht="15.75" customHeight="1">
      <c r="A656" s="14" t="s">
        <v>77</v>
      </c>
      <c r="B656" s="16" t="s">
        <v>51</v>
      </c>
      <c r="C656" s="16" t="s">
        <v>97</v>
      </c>
      <c r="D656" s="17" t="s">
        <v>1619</v>
      </c>
      <c r="E656" s="15">
        <v>7.0</v>
      </c>
      <c r="F656" s="20" t="s">
        <v>83</v>
      </c>
    </row>
    <row r="657" ht="15.75" customHeight="1">
      <c r="A657" s="14" t="s">
        <v>77</v>
      </c>
      <c r="B657" s="16" t="s">
        <v>51</v>
      </c>
      <c r="C657" s="16" t="s">
        <v>97</v>
      </c>
      <c r="D657" s="17" t="s">
        <v>2009</v>
      </c>
      <c r="E657" s="15">
        <v>7.0</v>
      </c>
      <c r="F657" s="20" t="s">
        <v>83</v>
      </c>
    </row>
    <row r="658" ht="15.75" customHeight="1">
      <c r="A658" s="14" t="s">
        <v>77</v>
      </c>
      <c r="B658" s="16" t="s">
        <v>51</v>
      </c>
      <c r="C658" s="16" t="s">
        <v>97</v>
      </c>
      <c r="D658" s="17" t="s">
        <v>2012</v>
      </c>
      <c r="E658" s="15">
        <v>3.0</v>
      </c>
      <c r="F658" s="20" t="s">
        <v>83</v>
      </c>
    </row>
    <row r="659" ht="15.75" customHeight="1">
      <c r="A659" s="14" t="s">
        <v>77</v>
      </c>
      <c r="B659" s="16" t="s">
        <v>51</v>
      </c>
      <c r="C659" s="16" t="s">
        <v>97</v>
      </c>
      <c r="D659" s="17" t="s">
        <v>2015</v>
      </c>
      <c r="E659" s="15">
        <v>7.0</v>
      </c>
      <c r="F659" s="20" t="s">
        <v>83</v>
      </c>
    </row>
    <row r="660" ht="15.75" customHeight="1">
      <c r="A660" s="14" t="s">
        <v>77</v>
      </c>
      <c r="B660" s="16" t="s">
        <v>51</v>
      </c>
      <c r="C660" s="16" t="s">
        <v>97</v>
      </c>
      <c r="D660" s="17" t="s">
        <v>1620</v>
      </c>
      <c r="E660" s="15">
        <v>5.0</v>
      </c>
      <c r="F660" s="20" t="s">
        <v>83</v>
      </c>
    </row>
    <row r="661" ht="15.75" customHeight="1">
      <c r="A661" s="14" t="s">
        <v>77</v>
      </c>
      <c r="B661" s="16" t="s">
        <v>51</v>
      </c>
      <c r="C661" s="16" t="s">
        <v>97</v>
      </c>
      <c r="D661" s="17" t="s">
        <v>2020</v>
      </c>
      <c r="E661" s="15">
        <v>5.0</v>
      </c>
      <c r="F661" s="20" t="s">
        <v>83</v>
      </c>
    </row>
    <row r="662" ht="15.75" customHeight="1">
      <c r="A662" s="14" t="s">
        <v>77</v>
      </c>
      <c r="B662" s="16" t="s">
        <v>51</v>
      </c>
      <c r="C662" s="16" t="s">
        <v>97</v>
      </c>
      <c r="D662" s="17" t="s">
        <v>2024</v>
      </c>
      <c r="E662" s="15">
        <v>2.0</v>
      </c>
      <c r="F662" s="20" t="s">
        <v>83</v>
      </c>
    </row>
    <row r="663" ht="15.75" customHeight="1">
      <c r="A663" s="14" t="s">
        <v>77</v>
      </c>
      <c r="B663" s="16" t="s">
        <v>51</v>
      </c>
      <c r="C663" s="16" t="s">
        <v>97</v>
      </c>
      <c r="D663" s="17" t="s">
        <v>2026</v>
      </c>
      <c r="E663" s="15">
        <v>5.0</v>
      </c>
      <c r="F663" s="20" t="s">
        <v>83</v>
      </c>
    </row>
    <row r="664" ht="15.75" customHeight="1">
      <c r="A664" s="14" t="s">
        <v>77</v>
      </c>
      <c r="B664" s="16" t="s">
        <v>51</v>
      </c>
      <c r="C664" s="16" t="s">
        <v>97</v>
      </c>
      <c r="D664" s="17" t="s">
        <v>2028</v>
      </c>
      <c r="E664" s="15">
        <v>1.0</v>
      </c>
      <c r="F664" s="20" t="s">
        <v>83</v>
      </c>
    </row>
    <row r="665" ht="15.75" customHeight="1">
      <c r="A665" s="14" t="s">
        <v>77</v>
      </c>
      <c r="B665" s="16" t="s">
        <v>51</v>
      </c>
      <c r="C665" s="16" t="s">
        <v>97</v>
      </c>
      <c r="D665" s="17" t="s">
        <v>2030</v>
      </c>
      <c r="E665" s="15">
        <v>1.0</v>
      </c>
      <c r="F665" s="20" t="s">
        <v>83</v>
      </c>
    </row>
    <row r="666" ht="15.75" customHeight="1">
      <c r="A666" s="14" t="s">
        <v>77</v>
      </c>
      <c r="B666" s="16" t="s">
        <v>51</v>
      </c>
      <c r="C666" s="16" t="s">
        <v>97</v>
      </c>
      <c r="D666" s="17" t="s">
        <v>2031</v>
      </c>
      <c r="E666" s="15">
        <v>3.0</v>
      </c>
      <c r="F666" s="20" t="s">
        <v>83</v>
      </c>
    </row>
    <row r="667" ht="15.75" customHeight="1">
      <c r="A667" s="14" t="s">
        <v>77</v>
      </c>
      <c r="B667" s="16" t="s">
        <v>51</v>
      </c>
      <c r="C667" s="16" t="s">
        <v>97</v>
      </c>
      <c r="D667" s="17" t="s">
        <v>2034</v>
      </c>
      <c r="E667" s="15">
        <v>64.0</v>
      </c>
      <c r="F667" s="20" t="s">
        <v>83</v>
      </c>
    </row>
    <row r="668" ht="15.75" customHeight="1">
      <c r="A668" s="14" t="s">
        <v>77</v>
      </c>
      <c r="B668" s="16" t="s">
        <v>51</v>
      </c>
      <c r="C668" s="16" t="s">
        <v>97</v>
      </c>
      <c r="D668" s="17" t="s">
        <v>2035</v>
      </c>
      <c r="E668" s="15">
        <v>64.0</v>
      </c>
      <c r="F668" s="20" t="s">
        <v>83</v>
      </c>
    </row>
    <row r="669" ht="15.75" customHeight="1">
      <c r="A669" s="14" t="s">
        <v>77</v>
      </c>
      <c r="B669" s="16" t="s">
        <v>51</v>
      </c>
      <c r="C669" s="16" t="s">
        <v>97</v>
      </c>
      <c r="D669" s="17" t="s">
        <v>2037</v>
      </c>
      <c r="E669" s="15">
        <v>55.0</v>
      </c>
      <c r="F669" s="20" t="s">
        <v>83</v>
      </c>
    </row>
    <row r="670" ht="15.75" customHeight="1">
      <c r="A670" s="14" t="s">
        <v>77</v>
      </c>
      <c r="B670" s="16" t="s">
        <v>51</v>
      </c>
      <c r="C670" s="16" t="s">
        <v>97</v>
      </c>
      <c r="D670" s="17" t="s">
        <v>2039</v>
      </c>
      <c r="E670" s="15">
        <v>2.0</v>
      </c>
      <c r="F670" s="20" t="s">
        <v>83</v>
      </c>
    </row>
    <row r="671" ht="15.75" customHeight="1">
      <c r="A671" s="14" t="s">
        <v>77</v>
      </c>
      <c r="B671" s="16" t="s">
        <v>51</v>
      </c>
      <c r="C671" s="16" t="s">
        <v>97</v>
      </c>
      <c r="D671" s="17" t="s">
        <v>2040</v>
      </c>
      <c r="E671" s="15">
        <v>2.0</v>
      </c>
      <c r="F671" s="20" t="s">
        <v>83</v>
      </c>
    </row>
    <row r="672" ht="15.75" customHeight="1">
      <c r="A672" s="14" t="s">
        <v>77</v>
      </c>
      <c r="B672" s="16" t="s">
        <v>51</v>
      </c>
      <c r="C672" s="16" t="s">
        <v>97</v>
      </c>
      <c r="D672" s="17" t="s">
        <v>2042</v>
      </c>
      <c r="E672" s="15">
        <v>2.0</v>
      </c>
      <c r="F672" s="20" t="s">
        <v>83</v>
      </c>
    </row>
    <row r="673" ht="15.75" customHeight="1">
      <c r="A673" s="14" t="s">
        <v>77</v>
      </c>
      <c r="B673" s="16" t="s">
        <v>51</v>
      </c>
      <c r="C673" s="16" t="s">
        <v>97</v>
      </c>
      <c r="D673" s="17" t="s">
        <v>2044</v>
      </c>
      <c r="E673" s="15">
        <v>64.0</v>
      </c>
      <c r="F673" s="20" t="s">
        <v>83</v>
      </c>
    </row>
    <row r="674" ht="15.75" customHeight="1">
      <c r="A674" s="14" t="s">
        <v>77</v>
      </c>
      <c r="B674" s="16" t="s">
        <v>51</v>
      </c>
      <c r="C674" s="16" t="s">
        <v>97</v>
      </c>
      <c r="D674" s="17" t="s">
        <v>421</v>
      </c>
      <c r="E674" s="15">
        <v>64.0</v>
      </c>
      <c r="F674" s="20" t="s">
        <v>83</v>
      </c>
    </row>
    <row r="675" ht="15.75" customHeight="1">
      <c r="A675" s="14" t="s">
        <v>77</v>
      </c>
      <c r="B675" s="16" t="s">
        <v>51</v>
      </c>
      <c r="C675" s="16" t="s">
        <v>97</v>
      </c>
      <c r="D675" s="17" t="s">
        <v>1622</v>
      </c>
      <c r="E675" s="15">
        <v>62.0</v>
      </c>
      <c r="F675" s="20" t="s">
        <v>83</v>
      </c>
    </row>
    <row r="676" ht="15.75" customHeight="1">
      <c r="A676" s="14" t="s">
        <v>77</v>
      </c>
      <c r="B676" s="16" t="s">
        <v>51</v>
      </c>
      <c r="C676" s="16" t="s">
        <v>97</v>
      </c>
      <c r="D676" s="17" t="s">
        <v>2048</v>
      </c>
      <c r="E676" s="15">
        <v>62.0</v>
      </c>
      <c r="F676" s="20" t="s">
        <v>83</v>
      </c>
    </row>
    <row r="677" ht="15.75" customHeight="1">
      <c r="A677" s="14" t="s">
        <v>77</v>
      </c>
      <c r="B677" s="16" t="s">
        <v>51</v>
      </c>
      <c r="C677" s="16" t="s">
        <v>97</v>
      </c>
      <c r="D677" s="17" t="s">
        <v>2050</v>
      </c>
      <c r="E677" s="15">
        <v>43.0</v>
      </c>
      <c r="F677" s="20" t="s">
        <v>83</v>
      </c>
    </row>
    <row r="678" ht="15.75" customHeight="1">
      <c r="A678" s="14" t="s">
        <v>77</v>
      </c>
      <c r="B678" s="16" t="s">
        <v>51</v>
      </c>
      <c r="C678" s="16" t="s">
        <v>97</v>
      </c>
      <c r="D678" s="17" t="s">
        <v>1826</v>
      </c>
      <c r="E678" s="15">
        <v>62.0</v>
      </c>
      <c r="F678" s="20" t="s">
        <v>83</v>
      </c>
    </row>
    <row r="679" ht="15.75" customHeight="1">
      <c r="A679" s="14" t="s">
        <v>77</v>
      </c>
      <c r="B679" s="16" t="s">
        <v>51</v>
      </c>
      <c r="C679" s="16" t="s">
        <v>97</v>
      </c>
      <c r="D679" s="17" t="s">
        <v>1624</v>
      </c>
      <c r="E679" s="15">
        <v>5.0</v>
      </c>
      <c r="F679" s="20" t="s">
        <v>83</v>
      </c>
    </row>
    <row r="680" ht="15.75" customHeight="1">
      <c r="A680" s="14" t="s">
        <v>77</v>
      </c>
      <c r="B680" s="16" t="s">
        <v>51</v>
      </c>
      <c r="C680" s="16" t="s">
        <v>97</v>
      </c>
      <c r="D680" s="17" t="s">
        <v>2052</v>
      </c>
      <c r="E680" s="15">
        <v>5.0</v>
      </c>
      <c r="F680" s="20" t="s">
        <v>83</v>
      </c>
    </row>
    <row r="681" ht="15.75" customHeight="1">
      <c r="A681" s="14" t="s">
        <v>77</v>
      </c>
      <c r="B681" s="16" t="s">
        <v>51</v>
      </c>
      <c r="C681" s="16" t="s">
        <v>97</v>
      </c>
      <c r="D681" s="17" t="s">
        <v>1827</v>
      </c>
      <c r="E681" s="15">
        <v>5.0</v>
      </c>
      <c r="F681" s="20" t="s">
        <v>83</v>
      </c>
    </row>
    <row r="682" ht="15.75" customHeight="1">
      <c r="A682" s="14" t="s">
        <v>77</v>
      </c>
      <c r="B682" s="16" t="s">
        <v>51</v>
      </c>
      <c r="C682" s="16" t="s">
        <v>97</v>
      </c>
      <c r="D682" s="17" t="s">
        <v>1632</v>
      </c>
      <c r="E682" s="15">
        <v>4.0</v>
      </c>
      <c r="F682" s="20" t="s">
        <v>83</v>
      </c>
    </row>
    <row r="683" ht="15.75" customHeight="1">
      <c r="A683" s="14" t="s">
        <v>77</v>
      </c>
      <c r="B683" s="16" t="s">
        <v>51</v>
      </c>
      <c r="C683" s="16" t="s">
        <v>97</v>
      </c>
      <c r="D683" s="17" t="s">
        <v>2056</v>
      </c>
      <c r="E683" s="15">
        <v>4.0</v>
      </c>
      <c r="F683" s="20" t="s">
        <v>83</v>
      </c>
    </row>
    <row r="684" ht="15.75" customHeight="1">
      <c r="A684" s="14" t="s">
        <v>77</v>
      </c>
      <c r="B684" s="16" t="s">
        <v>51</v>
      </c>
      <c r="C684" s="16" t="s">
        <v>97</v>
      </c>
      <c r="D684" s="17" t="s">
        <v>1830</v>
      </c>
      <c r="E684" s="15">
        <v>4.0</v>
      </c>
      <c r="F684" s="20" t="s">
        <v>83</v>
      </c>
    </row>
    <row r="685" ht="15.75" customHeight="1">
      <c r="A685" s="14" t="s">
        <v>77</v>
      </c>
      <c r="B685" s="16" t="s">
        <v>51</v>
      </c>
      <c r="C685" s="16" t="s">
        <v>97</v>
      </c>
      <c r="D685" s="17" t="s">
        <v>1638</v>
      </c>
      <c r="E685" s="15">
        <v>4.0</v>
      </c>
      <c r="F685" s="20" t="s">
        <v>83</v>
      </c>
    </row>
    <row r="686" ht="15.75" customHeight="1">
      <c r="A686" s="14" t="s">
        <v>77</v>
      </c>
      <c r="B686" s="16" t="s">
        <v>51</v>
      </c>
      <c r="C686" s="16" t="s">
        <v>97</v>
      </c>
      <c r="D686" s="17" t="s">
        <v>2059</v>
      </c>
      <c r="E686" s="15">
        <v>4.0</v>
      </c>
      <c r="F686" s="20" t="s">
        <v>83</v>
      </c>
    </row>
    <row r="687" ht="15.75" customHeight="1">
      <c r="A687" s="14" t="s">
        <v>77</v>
      </c>
      <c r="B687" s="16" t="s">
        <v>51</v>
      </c>
      <c r="C687" s="16" t="s">
        <v>97</v>
      </c>
      <c r="D687" s="17" t="s">
        <v>1832</v>
      </c>
      <c r="E687" s="15">
        <v>4.0</v>
      </c>
      <c r="F687" s="20" t="s">
        <v>83</v>
      </c>
    </row>
    <row r="688" ht="15.75" customHeight="1">
      <c r="A688" s="14" t="s">
        <v>77</v>
      </c>
      <c r="B688" s="16" t="s">
        <v>51</v>
      </c>
      <c r="C688" s="16" t="s">
        <v>97</v>
      </c>
      <c r="D688" s="17" t="s">
        <v>1643</v>
      </c>
      <c r="E688" s="15">
        <v>1.0</v>
      </c>
      <c r="F688" s="20" t="s">
        <v>83</v>
      </c>
    </row>
    <row r="689" ht="15.75" customHeight="1">
      <c r="A689" s="14" t="s">
        <v>77</v>
      </c>
      <c r="B689" s="16" t="s">
        <v>51</v>
      </c>
      <c r="C689" s="16" t="s">
        <v>97</v>
      </c>
      <c r="D689" s="17" t="s">
        <v>2063</v>
      </c>
      <c r="E689" s="15">
        <v>1.0</v>
      </c>
      <c r="F689" s="20" t="s">
        <v>83</v>
      </c>
    </row>
    <row r="690" ht="15.75" customHeight="1">
      <c r="A690" s="14" t="s">
        <v>77</v>
      </c>
      <c r="B690" s="16" t="s">
        <v>51</v>
      </c>
      <c r="C690" s="16" t="s">
        <v>97</v>
      </c>
      <c r="D690" s="17" t="s">
        <v>1833</v>
      </c>
      <c r="E690" s="15">
        <v>1.0</v>
      </c>
      <c r="F690" s="20" t="s">
        <v>83</v>
      </c>
    </row>
    <row r="691" ht="15.75" customHeight="1">
      <c r="A691" s="14" t="s">
        <v>77</v>
      </c>
      <c r="B691" s="16" t="s">
        <v>51</v>
      </c>
      <c r="C691" s="16" t="s">
        <v>97</v>
      </c>
      <c r="D691" s="17" t="s">
        <v>2066</v>
      </c>
      <c r="E691" s="15">
        <v>2.0</v>
      </c>
      <c r="F691" s="20" t="s">
        <v>83</v>
      </c>
    </row>
    <row r="692" ht="15.75" customHeight="1">
      <c r="A692" s="14" t="s">
        <v>77</v>
      </c>
      <c r="B692" s="16" t="s">
        <v>51</v>
      </c>
      <c r="C692" s="16" t="s">
        <v>97</v>
      </c>
      <c r="D692" s="17" t="s">
        <v>1031</v>
      </c>
      <c r="E692" s="15">
        <v>64.0</v>
      </c>
      <c r="F692" s="20" t="s">
        <v>83</v>
      </c>
    </row>
    <row r="693" ht="15.75" customHeight="1">
      <c r="A693" s="14" t="s">
        <v>77</v>
      </c>
      <c r="B693" s="16" t="s">
        <v>51</v>
      </c>
      <c r="C693" s="16" t="s">
        <v>97</v>
      </c>
      <c r="D693" s="17" t="s">
        <v>2068</v>
      </c>
      <c r="E693" s="15">
        <v>49.0</v>
      </c>
      <c r="F693" s="20" t="s">
        <v>83</v>
      </c>
    </row>
    <row r="694" ht="15.75" customHeight="1">
      <c r="A694" s="14" t="s">
        <v>77</v>
      </c>
      <c r="B694" s="16" t="s">
        <v>51</v>
      </c>
      <c r="C694" s="16" t="s">
        <v>97</v>
      </c>
      <c r="D694" s="17" t="s">
        <v>2069</v>
      </c>
      <c r="E694" s="15">
        <v>1.0</v>
      </c>
      <c r="F694" s="20" t="s">
        <v>83</v>
      </c>
    </row>
    <row r="695" ht="15.75" customHeight="1">
      <c r="A695" s="14" t="s">
        <v>77</v>
      </c>
      <c r="B695" s="16" t="s">
        <v>51</v>
      </c>
      <c r="C695" s="16" t="s">
        <v>97</v>
      </c>
      <c r="D695" s="17" t="s">
        <v>2072</v>
      </c>
      <c r="E695" s="15">
        <v>24.0</v>
      </c>
      <c r="F695" s="20" t="s">
        <v>83</v>
      </c>
    </row>
    <row r="696" ht="15.75" customHeight="1">
      <c r="A696" s="14" t="s">
        <v>77</v>
      </c>
      <c r="B696" s="16" t="s">
        <v>51</v>
      </c>
      <c r="C696" s="16" t="s">
        <v>97</v>
      </c>
      <c r="D696" s="17" t="s">
        <v>2074</v>
      </c>
      <c r="E696" s="15">
        <v>24.0</v>
      </c>
      <c r="F696" s="20" t="s">
        <v>83</v>
      </c>
    </row>
    <row r="697" ht="15.75" customHeight="1">
      <c r="A697" s="14" t="s">
        <v>77</v>
      </c>
      <c r="B697" s="16" t="s">
        <v>51</v>
      </c>
      <c r="C697" s="16" t="s">
        <v>97</v>
      </c>
      <c r="D697" s="17" t="s">
        <v>2075</v>
      </c>
      <c r="E697" s="15">
        <v>19.0</v>
      </c>
      <c r="F697" s="20" t="s">
        <v>83</v>
      </c>
    </row>
    <row r="698" ht="15.75" customHeight="1">
      <c r="A698" s="14" t="s">
        <v>77</v>
      </c>
      <c r="B698" s="16" t="s">
        <v>51</v>
      </c>
      <c r="C698" s="16" t="s">
        <v>97</v>
      </c>
      <c r="D698" s="17" t="s">
        <v>2076</v>
      </c>
      <c r="E698" s="15">
        <v>2.0</v>
      </c>
      <c r="F698" s="20" t="s">
        <v>83</v>
      </c>
    </row>
    <row r="699" ht="15.75" customHeight="1">
      <c r="A699" s="14" t="s">
        <v>77</v>
      </c>
      <c r="B699" s="16" t="s">
        <v>51</v>
      </c>
      <c r="C699" s="16" t="s">
        <v>97</v>
      </c>
      <c r="D699" s="17" t="s">
        <v>2078</v>
      </c>
      <c r="E699" s="15">
        <v>2.0</v>
      </c>
      <c r="F699" s="20" t="s">
        <v>83</v>
      </c>
    </row>
    <row r="700" ht="15.75" customHeight="1">
      <c r="A700" s="14" t="s">
        <v>77</v>
      </c>
      <c r="B700" s="16" t="s">
        <v>51</v>
      </c>
      <c r="C700" s="16" t="s">
        <v>97</v>
      </c>
      <c r="D700" s="17" t="s">
        <v>2079</v>
      </c>
      <c r="E700" s="15">
        <v>2.0</v>
      </c>
      <c r="F700" s="20" t="s">
        <v>83</v>
      </c>
    </row>
    <row r="701" ht="15.75" customHeight="1">
      <c r="A701" s="14" t="s">
        <v>77</v>
      </c>
      <c r="B701" s="16" t="s">
        <v>51</v>
      </c>
      <c r="C701" s="16" t="s">
        <v>97</v>
      </c>
      <c r="D701" s="17" t="s">
        <v>2081</v>
      </c>
      <c r="E701" s="15">
        <v>24.0</v>
      </c>
      <c r="F701" s="20" t="s">
        <v>83</v>
      </c>
    </row>
    <row r="702" ht="15.75" customHeight="1">
      <c r="A702" s="14" t="s">
        <v>77</v>
      </c>
      <c r="B702" s="16" t="s">
        <v>51</v>
      </c>
      <c r="C702" s="16" t="s">
        <v>97</v>
      </c>
      <c r="D702" s="17" t="s">
        <v>425</v>
      </c>
      <c r="E702" s="15">
        <v>24.0</v>
      </c>
      <c r="F702" s="20" t="s">
        <v>83</v>
      </c>
    </row>
    <row r="703" ht="15.75" customHeight="1">
      <c r="A703" s="14" t="s">
        <v>77</v>
      </c>
      <c r="B703" s="16" t="s">
        <v>51</v>
      </c>
      <c r="C703" s="16" t="s">
        <v>97</v>
      </c>
      <c r="D703" s="17" t="s">
        <v>1649</v>
      </c>
      <c r="E703" s="15">
        <v>22.0</v>
      </c>
      <c r="F703" s="20" t="s">
        <v>83</v>
      </c>
    </row>
    <row r="704" ht="15.75" customHeight="1">
      <c r="A704" s="14" t="s">
        <v>77</v>
      </c>
      <c r="B704" s="16" t="s">
        <v>51</v>
      </c>
      <c r="C704" s="16" t="s">
        <v>97</v>
      </c>
      <c r="D704" s="17" t="s">
        <v>2083</v>
      </c>
      <c r="E704" s="15">
        <v>22.0</v>
      </c>
      <c r="F704" s="20" t="s">
        <v>83</v>
      </c>
    </row>
    <row r="705" ht="15.75" customHeight="1">
      <c r="A705" s="14" t="s">
        <v>77</v>
      </c>
      <c r="B705" s="16" t="s">
        <v>51</v>
      </c>
      <c r="C705" s="16" t="s">
        <v>97</v>
      </c>
      <c r="D705" s="17" t="s">
        <v>2085</v>
      </c>
      <c r="E705" s="15">
        <v>16.0</v>
      </c>
      <c r="F705" s="20" t="s">
        <v>83</v>
      </c>
    </row>
    <row r="706" ht="15.75" customHeight="1">
      <c r="A706" s="14" t="s">
        <v>77</v>
      </c>
      <c r="B706" s="16" t="s">
        <v>51</v>
      </c>
      <c r="C706" s="16" t="s">
        <v>97</v>
      </c>
      <c r="D706" s="17" t="s">
        <v>1836</v>
      </c>
      <c r="E706" s="15">
        <v>22.0</v>
      </c>
      <c r="F706" s="20" t="s">
        <v>83</v>
      </c>
    </row>
    <row r="707" ht="15.75" customHeight="1">
      <c r="A707" s="14" t="s">
        <v>77</v>
      </c>
      <c r="B707" s="16" t="s">
        <v>51</v>
      </c>
      <c r="C707" s="16" t="s">
        <v>97</v>
      </c>
      <c r="D707" s="17" t="s">
        <v>2087</v>
      </c>
      <c r="E707" s="15">
        <v>2.0</v>
      </c>
      <c r="F707" s="20" t="s">
        <v>83</v>
      </c>
    </row>
    <row r="708" ht="15.75" customHeight="1">
      <c r="A708" s="14" t="s">
        <v>77</v>
      </c>
      <c r="B708" s="16" t="s">
        <v>51</v>
      </c>
      <c r="C708" s="16" t="s">
        <v>97</v>
      </c>
      <c r="D708" s="17" t="s">
        <v>2089</v>
      </c>
      <c r="E708" s="15">
        <v>2.0</v>
      </c>
      <c r="F708" s="20" t="s">
        <v>83</v>
      </c>
    </row>
    <row r="709" ht="15.75" customHeight="1">
      <c r="A709" s="14" t="s">
        <v>77</v>
      </c>
      <c r="B709" s="16" t="s">
        <v>51</v>
      </c>
      <c r="C709" s="16" t="s">
        <v>97</v>
      </c>
      <c r="D709" s="17" t="s">
        <v>2090</v>
      </c>
      <c r="E709" s="15">
        <v>2.0</v>
      </c>
      <c r="F709" s="20" t="s">
        <v>83</v>
      </c>
    </row>
    <row r="710" ht="15.75" customHeight="1">
      <c r="A710" s="14" t="s">
        <v>77</v>
      </c>
      <c r="B710" s="16" t="s">
        <v>51</v>
      </c>
      <c r="C710" s="16" t="s">
        <v>97</v>
      </c>
      <c r="D710" s="17" t="s">
        <v>2092</v>
      </c>
      <c r="E710" s="15">
        <v>1.0</v>
      </c>
      <c r="F710" s="20" t="s">
        <v>83</v>
      </c>
    </row>
    <row r="711" ht="15.75" customHeight="1">
      <c r="A711" s="14" t="s">
        <v>77</v>
      </c>
      <c r="B711" s="16" t="s">
        <v>51</v>
      </c>
      <c r="C711" s="16" t="s">
        <v>97</v>
      </c>
      <c r="D711" s="17" t="s">
        <v>2093</v>
      </c>
      <c r="E711" s="15">
        <v>1.0</v>
      </c>
      <c r="F711" s="20" t="s">
        <v>83</v>
      </c>
    </row>
    <row r="712" ht="15.75" customHeight="1">
      <c r="A712" s="14" t="s">
        <v>77</v>
      </c>
      <c r="B712" s="16" t="s">
        <v>51</v>
      </c>
      <c r="C712" s="16" t="s">
        <v>97</v>
      </c>
      <c r="D712" s="17" t="s">
        <v>2094</v>
      </c>
      <c r="E712" s="15">
        <v>1.0</v>
      </c>
      <c r="F712" s="20" t="s">
        <v>83</v>
      </c>
    </row>
    <row r="713" ht="15.75" customHeight="1">
      <c r="A713" s="14" t="s">
        <v>77</v>
      </c>
      <c r="B713" s="16" t="s">
        <v>51</v>
      </c>
      <c r="C713" s="16" t="s">
        <v>97</v>
      </c>
      <c r="D713" s="17" t="s">
        <v>2096</v>
      </c>
      <c r="E713" s="15">
        <v>1.0</v>
      </c>
      <c r="F713" s="20" t="s">
        <v>83</v>
      </c>
    </row>
    <row r="714" ht="15.75" customHeight="1">
      <c r="A714" s="14" t="s">
        <v>77</v>
      </c>
      <c r="B714" s="16" t="s">
        <v>51</v>
      </c>
      <c r="C714" s="16" t="s">
        <v>97</v>
      </c>
      <c r="D714" s="17" t="s">
        <v>1837</v>
      </c>
      <c r="E714" s="15">
        <v>24.0</v>
      </c>
      <c r="F714" s="20" t="s">
        <v>83</v>
      </c>
    </row>
    <row r="715" ht="15.75" customHeight="1">
      <c r="A715" s="14" t="s">
        <v>77</v>
      </c>
      <c r="B715" s="16" t="s">
        <v>51</v>
      </c>
      <c r="C715" s="16" t="s">
        <v>97</v>
      </c>
      <c r="D715" s="17" t="s">
        <v>2099</v>
      </c>
      <c r="E715" s="15">
        <v>19.0</v>
      </c>
      <c r="F715" s="20" t="s">
        <v>83</v>
      </c>
    </row>
    <row r="716" ht="15.75" customHeight="1">
      <c r="A716" s="14" t="s">
        <v>77</v>
      </c>
      <c r="B716" s="16" t="s">
        <v>51</v>
      </c>
      <c r="C716" s="16" t="s">
        <v>97</v>
      </c>
      <c r="D716" s="17" t="s">
        <v>2100</v>
      </c>
      <c r="E716" s="15">
        <v>2.0</v>
      </c>
      <c r="F716" s="20" t="s">
        <v>83</v>
      </c>
    </row>
    <row r="717" ht="15.75" customHeight="1">
      <c r="A717" s="14" t="s">
        <v>77</v>
      </c>
      <c r="B717" s="16" t="s">
        <v>51</v>
      </c>
      <c r="C717" s="16" t="s">
        <v>97</v>
      </c>
      <c r="D717" s="17" t="s">
        <v>2102</v>
      </c>
      <c r="E717" s="15">
        <v>14.0</v>
      </c>
      <c r="F717" s="20" t="s">
        <v>83</v>
      </c>
    </row>
    <row r="718" ht="15.75" customHeight="1">
      <c r="A718" s="14" t="s">
        <v>77</v>
      </c>
      <c r="B718" s="16" t="s">
        <v>51</v>
      </c>
      <c r="C718" s="16" t="s">
        <v>97</v>
      </c>
      <c r="D718" s="17" t="s">
        <v>2103</v>
      </c>
      <c r="E718" s="15">
        <v>14.0</v>
      </c>
      <c r="F718" s="20" t="s">
        <v>83</v>
      </c>
    </row>
    <row r="719" ht="15.75" customHeight="1">
      <c r="A719" s="14" t="s">
        <v>77</v>
      </c>
      <c r="B719" s="16" t="s">
        <v>51</v>
      </c>
      <c r="C719" s="16" t="s">
        <v>97</v>
      </c>
      <c r="D719" s="17" t="s">
        <v>2105</v>
      </c>
      <c r="E719" s="15">
        <v>11.0</v>
      </c>
      <c r="F719" s="20" t="s">
        <v>83</v>
      </c>
    </row>
    <row r="720" ht="15.75" customHeight="1">
      <c r="A720" s="14" t="s">
        <v>77</v>
      </c>
      <c r="B720" s="16" t="s">
        <v>51</v>
      </c>
      <c r="C720" s="16" t="s">
        <v>97</v>
      </c>
      <c r="D720" s="17" t="s">
        <v>2108</v>
      </c>
      <c r="E720" s="15">
        <v>2.0</v>
      </c>
      <c r="F720" s="20" t="s">
        <v>83</v>
      </c>
    </row>
    <row r="721" ht="15.75" customHeight="1">
      <c r="A721" s="14" t="s">
        <v>77</v>
      </c>
      <c r="B721" s="16" t="s">
        <v>51</v>
      </c>
      <c r="C721" s="16" t="s">
        <v>97</v>
      </c>
      <c r="D721" s="17" t="s">
        <v>2109</v>
      </c>
      <c r="E721" s="15">
        <v>2.0</v>
      </c>
      <c r="F721" s="20" t="s">
        <v>83</v>
      </c>
    </row>
    <row r="722" ht="15.75" customHeight="1">
      <c r="A722" s="14" t="s">
        <v>77</v>
      </c>
      <c r="B722" s="16" t="s">
        <v>51</v>
      </c>
      <c r="C722" s="16" t="s">
        <v>97</v>
      </c>
      <c r="D722" s="17" t="s">
        <v>2111</v>
      </c>
      <c r="E722" s="15">
        <v>1.0</v>
      </c>
      <c r="F722" s="20" t="s">
        <v>83</v>
      </c>
    </row>
    <row r="723" ht="15.75" customHeight="1">
      <c r="A723" s="14" t="s">
        <v>77</v>
      </c>
      <c r="B723" s="16" t="s">
        <v>51</v>
      </c>
      <c r="C723" s="16" t="s">
        <v>97</v>
      </c>
      <c r="D723" s="17" t="s">
        <v>2112</v>
      </c>
      <c r="E723" s="15">
        <v>14.0</v>
      </c>
      <c r="F723" s="20" t="s">
        <v>83</v>
      </c>
    </row>
    <row r="724" ht="15.75" customHeight="1">
      <c r="A724" s="14" t="s">
        <v>77</v>
      </c>
      <c r="B724" s="16" t="s">
        <v>51</v>
      </c>
      <c r="C724" s="16" t="s">
        <v>97</v>
      </c>
      <c r="D724" s="17" t="s">
        <v>429</v>
      </c>
      <c r="E724" s="15">
        <v>14.0</v>
      </c>
      <c r="F724" s="20" t="s">
        <v>83</v>
      </c>
    </row>
    <row r="725" ht="15.75" customHeight="1">
      <c r="A725" s="14" t="s">
        <v>77</v>
      </c>
      <c r="B725" s="16" t="s">
        <v>51</v>
      </c>
      <c r="C725" s="16" t="s">
        <v>97</v>
      </c>
      <c r="D725" s="17" t="s">
        <v>1655</v>
      </c>
      <c r="E725" s="15">
        <v>13.0</v>
      </c>
      <c r="F725" s="20" t="s">
        <v>83</v>
      </c>
    </row>
    <row r="726" ht="15.75" customHeight="1">
      <c r="A726" s="14" t="s">
        <v>77</v>
      </c>
      <c r="B726" s="16" t="s">
        <v>51</v>
      </c>
      <c r="C726" s="16" t="s">
        <v>97</v>
      </c>
      <c r="D726" s="17" t="s">
        <v>2117</v>
      </c>
      <c r="E726" s="15">
        <v>13.0</v>
      </c>
      <c r="F726" s="20" t="s">
        <v>83</v>
      </c>
    </row>
    <row r="727" ht="15.75" customHeight="1">
      <c r="A727" s="14" t="s">
        <v>77</v>
      </c>
      <c r="B727" s="16" t="s">
        <v>51</v>
      </c>
      <c r="C727" s="16" t="s">
        <v>97</v>
      </c>
      <c r="D727" s="17" t="s">
        <v>2119</v>
      </c>
      <c r="E727" s="15">
        <v>7.0</v>
      </c>
      <c r="F727" s="20" t="s">
        <v>83</v>
      </c>
    </row>
    <row r="728" ht="15.75" customHeight="1">
      <c r="A728" s="14" t="s">
        <v>77</v>
      </c>
      <c r="B728" s="16" t="s">
        <v>51</v>
      </c>
      <c r="C728" s="16" t="s">
        <v>97</v>
      </c>
      <c r="D728" s="17" t="s">
        <v>1840</v>
      </c>
      <c r="E728" s="15">
        <v>13.0</v>
      </c>
      <c r="F728" s="20" t="s">
        <v>83</v>
      </c>
    </row>
    <row r="729" ht="15.75" customHeight="1">
      <c r="A729" s="14" t="s">
        <v>77</v>
      </c>
      <c r="B729" s="16" t="s">
        <v>51</v>
      </c>
      <c r="C729" s="16" t="s">
        <v>97</v>
      </c>
      <c r="D729" s="17" t="s">
        <v>1659</v>
      </c>
      <c r="E729" s="15">
        <v>1.0</v>
      </c>
      <c r="F729" s="20" t="s">
        <v>83</v>
      </c>
    </row>
    <row r="730" ht="15.75" customHeight="1">
      <c r="A730" s="14" t="s">
        <v>77</v>
      </c>
      <c r="B730" s="16" t="s">
        <v>51</v>
      </c>
      <c r="C730" s="16" t="s">
        <v>97</v>
      </c>
      <c r="D730" s="17" t="s">
        <v>2123</v>
      </c>
      <c r="E730" s="15">
        <v>1.0</v>
      </c>
      <c r="F730" s="20" t="s">
        <v>83</v>
      </c>
    </row>
    <row r="731" ht="15.75" customHeight="1">
      <c r="A731" s="14" t="s">
        <v>77</v>
      </c>
      <c r="B731" s="16" t="s">
        <v>51</v>
      </c>
      <c r="C731" s="16" t="s">
        <v>97</v>
      </c>
      <c r="D731" s="17" t="s">
        <v>2125</v>
      </c>
      <c r="E731" s="15">
        <v>1.0</v>
      </c>
      <c r="F731" s="20" t="s">
        <v>83</v>
      </c>
    </row>
    <row r="732" ht="15.75" customHeight="1">
      <c r="A732" s="14" t="s">
        <v>77</v>
      </c>
      <c r="B732" s="16" t="s">
        <v>51</v>
      </c>
      <c r="C732" s="16" t="s">
        <v>97</v>
      </c>
      <c r="D732" s="17" t="s">
        <v>1665</v>
      </c>
      <c r="E732" s="15">
        <v>1.0</v>
      </c>
      <c r="F732" s="20" t="s">
        <v>83</v>
      </c>
    </row>
    <row r="733" ht="15.75" customHeight="1">
      <c r="A733" s="14" t="s">
        <v>77</v>
      </c>
      <c r="B733" s="16" t="s">
        <v>51</v>
      </c>
      <c r="C733" s="16" t="s">
        <v>97</v>
      </c>
      <c r="D733" s="17" t="s">
        <v>2127</v>
      </c>
      <c r="E733" s="15">
        <v>1.0</v>
      </c>
      <c r="F733" s="20" t="s">
        <v>83</v>
      </c>
    </row>
    <row r="734" ht="15.75" customHeight="1">
      <c r="A734" s="14" t="s">
        <v>77</v>
      </c>
      <c r="B734" s="16" t="s">
        <v>51</v>
      </c>
      <c r="C734" s="16" t="s">
        <v>97</v>
      </c>
      <c r="D734" s="17" t="s">
        <v>2130</v>
      </c>
      <c r="E734" s="15">
        <v>1.0</v>
      </c>
      <c r="F734" s="20" t="s">
        <v>83</v>
      </c>
    </row>
    <row r="735" ht="15.75" customHeight="1">
      <c r="A735" s="14" t="s">
        <v>77</v>
      </c>
      <c r="B735" s="16" t="s">
        <v>51</v>
      </c>
      <c r="C735" s="16" t="s">
        <v>97</v>
      </c>
      <c r="D735" s="17" t="s">
        <v>1842</v>
      </c>
      <c r="E735" s="15">
        <v>14.0</v>
      </c>
      <c r="F735" s="20" t="s">
        <v>83</v>
      </c>
    </row>
    <row r="736" ht="15.75" customHeight="1">
      <c r="A736" s="14" t="s">
        <v>77</v>
      </c>
      <c r="B736" s="16" t="s">
        <v>51</v>
      </c>
      <c r="C736" s="16" t="s">
        <v>97</v>
      </c>
      <c r="D736" s="17" t="s">
        <v>2133</v>
      </c>
      <c r="E736" s="15">
        <v>10.0</v>
      </c>
      <c r="F736" s="20" t="s">
        <v>83</v>
      </c>
    </row>
    <row r="737" ht="15.75" customHeight="1">
      <c r="A737" s="14" t="s">
        <v>77</v>
      </c>
      <c r="B737" s="16" t="s">
        <v>51</v>
      </c>
      <c r="C737" s="16" t="s">
        <v>97</v>
      </c>
      <c r="D737" s="17" t="s">
        <v>2134</v>
      </c>
      <c r="E737" s="15">
        <v>2.0</v>
      </c>
      <c r="F737" s="20" t="s">
        <v>83</v>
      </c>
    </row>
    <row r="738" ht="15.75" customHeight="1">
      <c r="A738" s="14" t="s">
        <v>77</v>
      </c>
      <c r="B738" s="16" t="s">
        <v>51</v>
      </c>
      <c r="C738" s="16" t="s">
        <v>97</v>
      </c>
      <c r="D738" s="17" t="s">
        <v>2136</v>
      </c>
      <c r="E738" s="15">
        <v>2.0</v>
      </c>
      <c r="F738" s="20" t="s">
        <v>83</v>
      </c>
    </row>
    <row r="739" ht="15.75" customHeight="1">
      <c r="A739" s="14" t="s">
        <v>77</v>
      </c>
      <c r="B739" s="16" t="s">
        <v>51</v>
      </c>
      <c r="C739" s="16" t="s">
        <v>97</v>
      </c>
      <c r="D739" s="17" t="s">
        <v>2137</v>
      </c>
      <c r="E739" s="15">
        <v>2.0</v>
      </c>
      <c r="F739" s="20" t="s">
        <v>83</v>
      </c>
    </row>
    <row r="740" ht="15.75" customHeight="1">
      <c r="A740" s="14" t="s">
        <v>77</v>
      </c>
      <c r="B740" s="16" t="s">
        <v>51</v>
      </c>
      <c r="C740" s="16" t="s">
        <v>97</v>
      </c>
      <c r="D740" s="17" t="s">
        <v>2140</v>
      </c>
      <c r="E740" s="15">
        <v>1.0</v>
      </c>
      <c r="F740" s="20" t="s">
        <v>83</v>
      </c>
    </row>
    <row r="741" ht="15.75" customHeight="1">
      <c r="A741" s="14" t="s">
        <v>77</v>
      </c>
      <c r="B741" s="16" t="s">
        <v>51</v>
      </c>
      <c r="C741" s="16" t="s">
        <v>97</v>
      </c>
      <c r="D741" s="17" t="s">
        <v>2141</v>
      </c>
      <c r="E741" s="15">
        <v>2.0</v>
      </c>
      <c r="F741" s="20" t="s">
        <v>83</v>
      </c>
    </row>
    <row r="742" ht="15.75" customHeight="1">
      <c r="A742" s="14" t="s">
        <v>77</v>
      </c>
      <c r="B742" s="16" t="s">
        <v>51</v>
      </c>
      <c r="C742" s="16" t="s">
        <v>97</v>
      </c>
      <c r="D742" s="17" t="s">
        <v>2144</v>
      </c>
      <c r="E742" s="15">
        <v>2.0</v>
      </c>
      <c r="F742" s="20" t="s">
        <v>83</v>
      </c>
    </row>
    <row r="743" ht="15.75" customHeight="1">
      <c r="A743" s="14" t="s">
        <v>77</v>
      </c>
      <c r="B743" s="16" t="s">
        <v>51</v>
      </c>
      <c r="C743" s="16" t="s">
        <v>97</v>
      </c>
      <c r="D743" s="17" t="s">
        <v>2147</v>
      </c>
      <c r="E743" s="15">
        <v>2.0</v>
      </c>
      <c r="F743" s="20" t="s">
        <v>83</v>
      </c>
    </row>
    <row r="744" ht="15.75" customHeight="1">
      <c r="A744" s="14" t="s">
        <v>77</v>
      </c>
      <c r="B744" s="16" t="s">
        <v>51</v>
      </c>
      <c r="C744" s="16" t="s">
        <v>97</v>
      </c>
      <c r="D744" s="17" t="s">
        <v>2150</v>
      </c>
      <c r="E744" s="15">
        <v>2.0</v>
      </c>
      <c r="F744" s="20" t="s">
        <v>83</v>
      </c>
    </row>
    <row r="745" ht="15.75" customHeight="1">
      <c r="A745" s="14" t="s">
        <v>77</v>
      </c>
      <c r="B745" s="16" t="s">
        <v>51</v>
      </c>
      <c r="C745" s="16" t="s">
        <v>97</v>
      </c>
      <c r="D745" s="17" t="s">
        <v>2152</v>
      </c>
      <c r="E745" s="15">
        <v>1.0</v>
      </c>
      <c r="F745" s="20" t="s">
        <v>83</v>
      </c>
    </row>
    <row r="746" ht="15.75" customHeight="1">
      <c r="A746" s="14" t="s">
        <v>77</v>
      </c>
      <c r="B746" s="16" t="s">
        <v>51</v>
      </c>
      <c r="C746" s="16" t="s">
        <v>97</v>
      </c>
      <c r="D746" s="17" t="s">
        <v>1844</v>
      </c>
      <c r="E746" s="15">
        <v>2.0</v>
      </c>
      <c r="F746" s="20" t="s">
        <v>83</v>
      </c>
    </row>
    <row r="747" ht="15.75" customHeight="1">
      <c r="A747" s="14" t="s">
        <v>77</v>
      </c>
      <c r="B747" s="16" t="s">
        <v>51</v>
      </c>
      <c r="C747" s="16" t="s">
        <v>97</v>
      </c>
      <c r="D747" s="17" t="s">
        <v>2155</v>
      </c>
      <c r="E747" s="15">
        <v>1.0</v>
      </c>
      <c r="F747" s="20" t="s">
        <v>83</v>
      </c>
    </row>
    <row r="748" ht="15.75" customHeight="1">
      <c r="A748" s="14" t="s">
        <v>77</v>
      </c>
      <c r="B748" s="16" t="s">
        <v>51</v>
      </c>
      <c r="C748" s="16" t="s">
        <v>97</v>
      </c>
      <c r="D748" s="17" t="s">
        <v>2157</v>
      </c>
      <c r="E748" s="15">
        <v>1.0</v>
      </c>
      <c r="F748" s="20" t="s">
        <v>83</v>
      </c>
    </row>
    <row r="749" ht="15.75" customHeight="1">
      <c r="A749" s="14" t="s">
        <v>77</v>
      </c>
      <c r="B749" s="16" t="s">
        <v>51</v>
      </c>
      <c r="C749" s="16" t="s">
        <v>97</v>
      </c>
      <c r="D749" s="17" t="s">
        <v>2158</v>
      </c>
      <c r="E749" s="15">
        <v>1.0</v>
      </c>
      <c r="F749" s="20" t="s">
        <v>83</v>
      </c>
    </row>
    <row r="750" ht="15.75" customHeight="1">
      <c r="A750" s="14" t="s">
        <v>77</v>
      </c>
      <c r="B750" s="16" t="s">
        <v>51</v>
      </c>
      <c r="C750" s="16" t="s">
        <v>97</v>
      </c>
      <c r="D750" s="17" t="s">
        <v>1845</v>
      </c>
      <c r="E750" s="15">
        <v>2.0</v>
      </c>
      <c r="F750" s="20" t="s">
        <v>83</v>
      </c>
    </row>
    <row r="751" ht="15.75" customHeight="1">
      <c r="A751" s="14" t="s">
        <v>77</v>
      </c>
      <c r="B751" s="16" t="s">
        <v>51</v>
      </c>
      <c r="C751" s="16" t="s">
        <v>97</v>
      </c>
      <c r="D751" s="17" t="s">
        <v>2161</v>
      </c>
      <c r="E751" s="15">
        <v>2.0</v>
      </c>
      <c r="F751" s="20" t="s">
        <v>83</v>
      </c>
    </row>
    <row r="752" ht="15.75" customHeight="1">
      <c r="A752" s="14" t="s">
        <v>77</v>
      </c>
      <c r="B752" s="16" t="s">
        <v>51</v>
      </c>
      <c r="C752" s="16" t="s">
        <v>97</v>
      </c>
      <c r="D752" s="17" t="s">
        <v>2162</v>
      </c>
      <c r="E752" s="15">
        <v>2.0</v>
      </c>
      <c r="F752" s="20" t="s">
        <v>83</v>
      </c>
    </row>
    <row r="753" ht="15.75" customHeight="1">
      <c r="A753" s="14" t="s">
        <v>77</v>
      </c>
      <c r="B753" s="16" t="s">
        <v>51</v>
      </c>
      <c r="C753" s="16" t="s">
        <v>97</v>
      </c>
      <c r="D753" s="17" t="s">
        <v>2164</v>
      </c>
      <c r="E753" s="15">
        <v>2.0</v>
      </c>
      <c r="F753" s="20" t="s">
        <v>83</v>
      </c>
    </row>
    <row r="754" ht="15.75" customHeight="1">
      <c r="A754" s="14" t="s">
        <v>77</v>
      </c>
      <c r="B754" s="16" t="s">
        <v>51</v>
      </c>
      <c r="C754" s="16" t="s">
        <v>97</v>
      </c>
      <c r="D754" s="17" t="s">
        <v>2166</v>
      </c>
      <c r="E754" s="15">
        <v>1.0</v>
      </c>
      <c r="F754" s="20" t="s">
        <v>83</v>
      </c>
    </row>
    <row r="755" ht="15.75" customHeight="1">
      <c r="A755" s="14" t="s">
        <v>77</v>
      </c>
      <c r="B755" s="16" t="s">
        <v>51</v>
      </c>
      <c r="C755" s="16" t="s">
        <v>97</v>
      </c>
      <c r="D755" s="17" t="s">
        <v>2167</v>
      </c>
      <c r="E755" s="15">
        <v>2.0</v>
      </c>
      <c r="F755" s="20" t="s">
        <v>83</v>
      </c>
    </row>
    <row r="756" ht="15.75" customHeight="1">
      <c r="A756" s="14" t="s">
        <v>77</v>
      </c>
      <c r="B756" s="16" t="s">
        <v>51</v>
      </c>
      <c r="C756" s="16" t="s">
        <v>97</v>
      </c>
      <c r="D756" s="17" t="s">
        <v>2169</v>
      </c>
      <c r="E756" s="15">
        <v>2.0</v>
      </c>
      <c r="F756" s="20" t="s">
        <v>83</v>
      </c>
    </row>
    <row r="757" ht="15.75" customHeight="1">
      <c r="A757" s="14" t="s">
        <v>77</v>
      </c>
      <c r="B757" s="16" t="s">
        <v>51</v>
      </c>
      <c r="C757" s="16" t="s">
        <v>97</v>
      </c>
      <c r="D757" s="17" t="s">
        <v>2172</v>
      </c>
      <c r="E757" s="15">
        <v>2.0</v>
      </c>
      <c r="F757" s="20" t="s">
        <v>83</v>
      </c>
    </row>
    <row r="758" ht="15.75" customHeight="1">
      <c r="A758" s="14" t="s">
        <v>77</v>
      </c>
      <c r="B758" s="16" t="s">
        <v>51</v>
      </c>
      <c r="C758" s="16" t="s">
        <v>97</v>
      </c>
      <c r="D758" s="17" t="s">
        <v>2173</v>
      </c>
      <c r="E758" s="15">
        <v>2.0</v>
      </c>
      <c r="F758" s="20" t="s">
        <v>83</v>
      </c>
    </row>
    <row r="759" ht="15.75" customHeight="1">
      <c r="A759" s="14" t="s">
        <v>77</v>
      </c>
      <c r="B759" s="16" t="s">
        <v>51</v>
      </c>
      <c r="C759" s="16" t="s">
        <v>97</v>
      </c>
      <c r="D759" s="17" t="s">
        <v>2175</v>
      </c>
      <c r="E759" s="15">
        <v>1.0</v>
      </c>
      <c r="F759" s="20" t="s">
        <v>83</v>
      </c>
    </row>
    <row r="760" ht="15.75" customHeight="1">
      <c r="A760" s="14" t="s">
        <v>77</v>
      </c>
      <c r="B760" s="16" t="s">
        <v>51</v>
      </c>
      <c r="C760" s="16" t="s">
        <v>97</v>
      </c>
      <c r="D760" s="17" t="s">
        <v>1847</v>
      </c>
      <c r="E760" s="15">
        <v>2.0</v>
      </c>
      <c r="F760" s="20" t="s">
        <v>83</v>
      </c>
    </row>
    <row r="761" ht="15.75" customHeight="1">
      <c r="A761" s="14" t="s">
        <v>77</v>
      </c>
      <c r="B761" s="16" t="s">
        <v>51</v>
      </c>
      <c r="C761" s="16" t="s">
        <v>97</v>
      </c>
      <c r="D761" s="17" t="s">
        <v>1848</v>
      </c>
      <c r="E761" s="15">
        <v>2.0</v>
      </c>
      <c r="F761" s="20" t="s">
        <v>83</v>
      </c>
    </row>
    <row r="762" ht="15.75" customHeight="1">
      <c r="A762" s="14" t="s">
        <v>77</v>
      </c>
      <c r="B762" s="16" t="s">
        <v>51</v>
      </c>
      <c r="C762" s="16" t="s">
        <v>97</v>
      </c>
      <c r="D762" s="17" t="s">
        <v>2179</v>
      </c>
      <c r="E762" s="15">
        <v>2.0</v>
      </c>
      <c r="F762" s="20" t="s">
        <v>83</v>
      </c>
    </row>
    <row r="763" ht="15.75" customHeight="1">
      <c r="A763" s="14" t="s">
        <v>77</v>
      </c>
      <c r="B763" s="16" t="s">
        <v>51</v>
      </c>
      <c r="C763" s="16" t="s">
        <v>97</v>
      </c>
      <c r="D763" s="17" t="s">
        <v>2181</v>
      </c>
      <c r="E763" s="15">
        <v>2.0</v>
      </c>
      <c r="F763" s="20" t="s">
        <v>83</v>
      </c>
    </row>
    <row r="764" ht="15.75" customHeight="1">
      <c r="A764" s="14" t="s">
        <v>77</v>
      </c>
      <c r="B764" s="16" t="s">
        <v>51</v>
      </c>
      <c r="C764" s="16" t="s">
        <v>97</v>
      </c>
      <c r="D764" s="17" t="s">
        <v>2183</v>
      </c>
      <c r="E764" s="15">
        <v>2.0</v>
      </c>
      <c r="F764" s="20" t="s">
        <v>83</v>
      </c>
    </row>
    <row r="765" ht="15.75" customHeight="1">
      <c r="A765" s="14" t="s">
        <v>77</v>
      </c>
      <c r="B765" s="16" t="s">
        <v>51</v>
      </c>
      <c r="C765" s="16" t="s">
        <v>97</v>
      </c>
      <c r="D765" s="17" t="s">
        <v>2184</v>
      </c>
      <c r="E765" s="15">
        <v>2.0</v>
      </c>
      <c r="F765" s="20" t="s">
        <v>83</v>
      </c>
    </row>
    <row r="766" ht="15.75" customHeight="1">
      <c r="A766" s="14" t="s">
        <v>77</v>
      </c>
      <c r="B766" s="16" t="s">
        <v>51</v>
      </c>
      <c r="C766" s="16" t="s">
        <v>97</v>
      </c>
      <c r="D766" s="17" t="s">
        <v>2187</v>
      </c>
      <c r="E766" s="15">
        <v>1.0</v>
      </c>
      <c r="F766" s="20" t="s">
        <v>83</v>
      </c>
    </row>
    <row r="767" ht="15.75" customHeight="1">
      <c r="A767" s="14" t="s">
        <v>77</v>
      </c>
      <c r="B767" s="16" t="s">
        <v>51</v>
      </c>
      <c r="C767" s="16" t="s">
        <v>97</v>
      </c>
      <c r="D767" s="17" t="s">
        <v>2188</v>
      </c>
      <c r="E767" s="15">
        <v>2.0</v>
      </c>
      <c r="F767" s="20" t="s">
        <v>83</v>
      </c>
    </row>
    <row r="768" ht="15.75" customHeight="1">
      <c r="A768" s="14" t="s">
        <v>77</v>
      </c>
      <c r="B768" s="16" t="s">
        <v>51</v>
      </c>
      <c r="C768" s="16" t="s">
        <v>97</v>
      </c>
      <c r="D768" s="17" t="s">
        <v>2191</v>
      </c>
      <c r="E768" s="15">
        <v>2.0</v>
      </c>
      <c r="F768" s="20" t="s">
        <v>83</v>
      </c>
    </row>
    <row r="769" ht="15.75" customHeight="1">
      <c r="A769" s="14" t="s">
        <v>77</v>
      </c>
      <c r="B769" s="16" t="s">
        <v>51</v>
      </c>
      <c r="C769" s="16" t="s">
        <v>97</v>
      </c>
      <c r="D769" s="17" t="s">
        <v>2192</v>
      </c>
      <c r="E769" s="15">
        <v>2.0</v>
      </c>
      <c r="F769" s="20" t="s">
        <v>83</v>
      </c>
    </row>
    <row r="770" ht="15.75" customHeight="1">
      <c r="A770" s="14" t="s">
        <v>77</v>
      </c>
      <c r="B770" s="16" t="s">
        <v>51</v>
      </c>
      <c r="C770" s="16" t="s">
        <v>97</v>
      </c>
      <c r="D770" s="17" t="s">
        <v>2193</v>
      </c>
      <c r="E770" s="15">
        <v>2.0</v>
      </c>
      <c r="F770" s="20" t="s">
        <v>83</v>
      </c>
    </row>
    <row r="771" ht="15.75" customHeight="1">
      <c r="A771" s="14" t="s">
        <v>77</v>
      </c>
      <c r="B771" s="16" t="s">
        <v>51</v>
      </c>
      <c r="C771" s="16" t="s">
        <v>97</v>
      </c>
      <c r="D771" s="17" t="s">
        <v>2195</v>
      </c>
      <c r="E771" s="15">
        <v>1.0</v>
      </c>
      <c r="F771" s="20" t="s">
        <v>83</v>
      </c>
    </row>
    <row r="772" ht="15.75" customHeight="1">
      <c r="A772" s="14" t="s">
        <v>77</v>
      </c>
      <c r="B772" s="16" t="s">
        <v>51</v>
      </c>
      <c r="C772" s="16" t="s">
        <v>97</v>
      </c>
      <c r="D772" s="17" t="s">
        <v>1850</v>
      </c>
      <c r="E772" s="15">
        <v>2.0</v>
      </c>
      <c r="F772" s="20" t="s">
        <v>83</v>
      </c>
    </row>
    <row r="773" ht="15.75" customHeight="1">
      <c r="A773" s="14" t="s">
        <v>77</v>
      </c>
      <c r="B773" s="16" t="s">
        <v>51</v>
      </c>
      <c r="C773" s="16" t="s">
        <v>97</v>
      </c>
      <c r="D773" s="17" t="s">
        <v>1853</v>
      </c>
      <c r="E773" s="15">
        <v>2.0</v>
      </c>
      <c r="F773" s="20" t="s">
        <v>83</v>
      </c>
    </row>
    <row r="774" ht="15.75" customHeight="1">
      <c r="A774" s="14" t="s">
        <v>77</v>
      </c>
      <c r="B774" s="16" t="s">
        <v>51</v>
      </c>
      <c r="C774" s="16" t="s">
        <v>97</v>
      </c>
      <c r="D774" s="17" t="s">
        <v>2199</v>
      </c>
      <c r="E774" s="15">
        <v>2.0</v>
      </c>
      <c r="F774" s="20" t="s">
        <v>83</v>
      </c>
    </row>
    <row r="775" ht="15.75" customHeight="1">
      <c r="A775" s="14" t="s">
        <v>77</v>
      </c>
      <c r="B775" s="16" t="s">
        <v>51</v>
      </c>
      <c r="C775" s="16" t="s">
        <v>97</v>
      </c>
      <c r="D775" s="17" t="s">
        <v>2201</v>
      </c>
      <c r="E775" s="15">
        <v>1.0</v>
      </c>
      <c r="F775" s="20" t="s">
        <v>83</v>
      </c>
    </row>
    <row r="776" ht="15.75" customHeight="1">
      <c r="A776" s="14" t="s">
        <v>77</v>
      </c>
      <c r="B776" s="16" t="s">
        <v>51</v>
      </c>
      <c r="C776" s="16" t="s">
        <v>97</v>
      </c>
      <c r="D776" s="17" t="s">
        <v>2203</v>
      </c>
      <c r="E776" s="15">
        <v>1.0</v>
      </c>
      <c r="F776" s="20" t="s">
        <v>83</v>
      </c>
    </row>
    <row r="777" ht="15.75" customHeight="1">
      <c r="A777" s="14" t="s">
        <v>77</v>
      </c>
      <c r="B777" s="16" t="s">
        <v>51</v>
      </c>
      <c r="C777" s="16" t="s">
        <v>97</v>
      </c>
      <c r="D777" s="17" t="s">
        <v>2204</v>
      </c>
      <c r="E777" s="15">
        <v>1.0</v>
      </c>
      <c r="F777" s="20" t="s">
        <v>83</v>
      </c>
    </row>
    <row r="778" ht="15.75" customHeight="1">
      <c r="A778" s="14" t="s">
        <v>77</v>
      </c>
      <c r="B778" s="16" t="s">
        <v>51</v>
      </c>
      <c r="C778" s="16" t="s">
        <v>97</v>
      </c>
      <c r="D778" s="17" t="s">
        <v>2206</v>
      </c>
      <c r="E778" s="15">
        <v>1.0</v>
      </c>
      <c r="F778" s="20" t="s">
        <v>83</v>
      </c>
    </row>
    <row r="779" ht="15.75" customHeight="1">
      <c r="A779" s="14" t="s">
        <v>77</v>
      </c>
      <c r="B779" s="16" t="s">
        <v>51</v>
      </c>
      <c r="C779" s="16" t="s">
        <v>97</v>
      </c>
      <c r="D779" s="17" t="s">
        <v>2209</v>
      </c>
      <c r="E779" s="15">
        <v>1.0</v>
      </c>
      <c r="F779" s="20" t="s">
        <v>83</v>
      </c>
    </row>
    <row r="780" ht="15.75" customHeight="1">
      <c r="A780" s="14" t="s">
        <v>77</v>
      </c>
      <c r="B780" s="16" t="s">
        <v>51</v>
      </c>
      <c r="C780" s="16" t="s">
        <v>97</v>
      </c>
      <c r="D780" s="17" t="s">
        <v>2211</v>
      </c>
      <c r="E780" s="15">
        <v>1.0</v>
      </c>
      <c r="F780" s="20" t="s">
        <v>83</v>
      </c>
    </row>
    <row r="781" ht="15.75" customHeight="1">
      <c r="A781" s="14" t="s">
        <v>77</v>
      </c>
      <c r="B781" s="16" t="s">
        <v>51</v>
      </c>
      <c r="C781" s="16" t="s">
        <v>97</v>
      </c>
      <c r="D781" s="17" t="s">
        <v>2213</v>
      </c>
      <c r="E781" s="15">
        <v>1.0</v>
      </c>
      <c r="F781" s="20" t="s">
        <v>83</v>
      </c>
    </row>
    <row r="782" ht="15.75" customHeight="1">
      <c r="A782" s="14" t="s">
        <v>77</v>
      </c>
      <c r="B782" s="16" t="s">
        <v>51</v>
      </c>
      <c r="C782" s="16" t="s">
        <v>97</v>
      </c>
      <c r="D782" s="17" t="s">
        <v>2215</v>
      </c>
      <c r="E782" s="15">
        <v>1.0</v>
      </c>
      <c r="F782" s="20" t="s">
        <v>83</v>
      </c>
    </row>
    <row r="783" ht="15.75" customHeight="1">
      <c r="A783" s="14" t="s">
        <v>77</v>
      </c>
      <c r="B783" s="16" t="s">
        <v>51</v>
      </c>
      <c r="C783" s="16" t="s">
        <v>97</v>
      </c>
      <c r="D783" s="17" t="s">
        <v>1854</v>
      </c>
      <c r="E783" s="15">
        <v>1.0</v>
      </c>
      <c r="F783" s="20" t="s">
        <v>83</v>
      </c>
    </row>
    <row r="784" ht="15.75" customHeight="1">
      <c r="A784" s="14" t="s">
        <v>77</v>
      </c>
      <c r="B784" s="16" t="s">
        <v>51</v>
      </c>
      <c r="C784" s="16" t="s">
        <v>97</v>
      </c>
      <c r="D784" s="17" t="s">
        <v>1856</v>
      </c>
      <c r="E784" s="15">
        <v>1.0</v>
      </c>
      <c r="F784" s="20" t="s">
        <v>83</v>
      </c>
    </row>
    <row r="785" ht="15.75" customHeight="1">
      <c r="A785" s="14" t="s">
        <v>77</v>
      </c>
      <c r="B785" s="16" t="s">
        <v>51</v>
      </c>
      <c r="C785" s="16" t="s">
        <v>97</v>
      </c>
      <c r="D785" s="17" t="s">
        <v>2220</v>
      </c>
      <c r="E785" s="15">
        <v>1.0</v>
      </c>
      <c r="F785" s="20" t="s">
        <v>83</v>
      </c>
    </row>
    <row r="786" ht="15.75" customHeight="1">
      <c r="A786" s="14" t="s">
        <v>77</v>
      </c>
      <c r="B786" s="16" t="s">
        <v>51</v>
      </c>
      <c r="C786" s="16" t="s">
        <v>97</v>
      </c>
      <c r="D786" s="17" t="s">
        <v>2222</v>
      </c>
      <c r="E786" s="15">
        <v>1.0</v>
      </c>
      <c r="F786" s="20" t="s">
        <v>83</v>
      </c>
    </row>
    <row r="787" ht="15.75" customHeight="1">
      <c r="A787" s="14" t="s">
        <v>77</v>
      </c>
      <c r="B787" s="16" t="s">
        <v>51</v>
      </c>
      <c r="C787" s="16" t="s">
        <v>97</v>
      </c>
      <c r="D787" s="17" t="s">
        <v>2226</v>
      </c>
      <c r="E787" s="15">
        <v>1.0</v>
      </c>
      <c r="F787" s="20" t="s">
        <v>83</v>
      </c>
    </row>
    <row r="788" ht="15.75" customHeight="1">
      <c r="A788" s="14" t="s">
        <v>77</v>
      </c>
      <c r="B788" s="16" t="s">
        <v>51</v>
      </c>
      <c r="C788" s="16" t="s">
        <v>97</v>
      </c>
      <c r="D788" s="17" t="s">
        <v>2228</v>
      </c>
      <c r="E788" s="15">
        <v>1.0</v>
      </c>
      <c r="F788" s="20" t="s">
        <v>83</v>
      </c>
    </row>
    <row r="789" ht="15.75" customHeight="1">
      <c r="A789" s="14" t="s">
        <v>77</v>
      </c>
      <c r="B789" s="16" t="s">
        <v>51</v>
      </c>
      <c r="C789" s="16" t="s">
        <v>97</v>
      </c>
      <c r="D789" s="17" t="s">
        <v>2231</v>
      </c>
      <c r="E789" s="15">
        <v>1.0</v>
      </c>
      <c r="F789" s="20" t="s">
        <v>83</v>
      </c>
    </row>
    <row r="790" ht="15.75" customHeight="1">
      <c r="A790" s="14" t="s">
        <v>77</v>
      </c>
      <c r="B790" s="16" t="s">
        <v>51</v>
      </c>
      <c r="C790" s="16" t="s">
        <v>97</v>
      </c>
      <c r="D790" s="17" t="s">
        <v>2233</v>
      </c>
      <c r="E790" s="15">
        <v>1.0</v>
      </c>
      <c r="F790" s="20" t="s">
        <v>83</v>
      </c>
    </row>
    <row r="791" ht="15.75" customHeight="1">
      <c r="A791" s="14" t="s">
        <v>77</v>
      </c>
      <c r="B791" s="16" t="s">
        <v>51</v>
      </c>
      <c r="C791" s="16" t="s">
        <v>97</v>
      </c>
      <c r="D791" s="17" t="s">
        <v>2235</v>
      </c>
      <c r="E791" s="15">
        <v>1.0</v>
      </c>
      <c r="F791" s="20" t="s">
        <v>83</v>
      </c>
    </row>
    <row r="792" ht="15.75" customHeight="1">
      <c r="A792" s="14" t="s">
        <v>77</v>
      </c>
      <c r="B792" s="16" t="s">
        <v>51</v>
      </c>
      <c r="C792" s="16" t="s">
        <v>97</v>
      </c>
      <c r="D792" s="17" t="s">
        <v>2236</v>
      </c>
      <c r="E792" s="15">
        <v>1.0</v>
      </c>
      <c r="F792" s="20" t="s">
        <v>83</v>
      </c>
    </row>
    <row r="793" ht="15.75" customHeight="1">
      <c r="A793" s="14" t="s">
        <v>77</v>
      </c>
      <c r="B793" s="16" t="s">
        <v>51</v>
      </c>
      <c r="C793" s="16" t="s">
        <v>97</v>
      </c>
      <c r="D793" s="17" t="s">
        <v>2238</v>
      </c>
      <c r="E793" s="15">
        <v>1.0</v>
      </c>
      <c r="F793" s="20" t="s">
        <v>83</v>
      </c>
    </row>
    <row r="794" ht="15.75" customHeight="1">
      <c r="A794" s="14" t="s">
        <v>77</v>
      </c>
      <c r="B794" s="16" t="s">
        <v>51</v>
      </c>
      <c r="C794" s="16" t="s">
        <v>97</v>
      </c>
      <c r="D794" s="17" t="s">
        <v>1857</v>
      </c>
      <c r="E794" s="15">
        <v>1.0</v>
      </c>
      <c r="F794" s="20" t="s">
        <v>83</v>
      </c>
    </row>
    <row r="795" ht="15.75" customHeight="1">
      <c r="A795" s="14" t="s">
        <v>77</v>
      </c>
      <c r="B795" s="16" t="s">
        <v>51</v>
      </c>
      <c r="C795" s="16" t="s">
        <v>97</v>
      </c>
      <c r="D795" s="17" t="s">
        <v>1858</v>
      </c>
      <c r="E795" s="15">
        <v>1.0</v>
      </c>
      <c r="F795" s="20" t="s">
        <v>83</v>
      </c>
    </row>
    <row r="796" ht="15.75" customHeight="1">
      <c r="A796" s="14" t="s">
        <v>77</v>
      </c>
      <c r="B796" s="16" t="s">
        <v>51</v>
      </c>
      <c r="C796" s="16" t="s">
        <v>97</v>
      </c>
      <c r="D796" s="17" t="s">
        <v>2241</v>
      </c>
      <c r="E796" s="15">
        <v>1.0</v>
      </c>
      <c r="F796" s="20" t="s">
        <v>83</v>
      </c>
    </row>
    <row r="797" ht="15.75" customHeight="1">
      <c r="A797" s="14" t="s">
        <v>77</v>
      </c>
      <c r="B797" s="16" t="s">
        <v>51</v>
      </c>
      <c r="C797" s="16" t="s">
        <v>97</v>
      </c>
      <c r="D797" s="17" t="s">
        <v>1275</v>
      </c>
      <c r="E797" s="15">
        <v>1.0</v>
      </c>
      <c r="F797" s="20" t="s">
        <v>83</v>
      </c>
    </row>
    <row r="798" ht="15.75" customHeight="1">
      <c r="A798" s="14" t="s">
        <v>77</v>
      </c>
      <c r="B798" s="16" t="s">
        <v>51</v>
      </c>
      <c r="C798" s="16" t="s">
        <v>97</v>
      </c>
      <c r="D798" s="17" t="s">
        <v>1287</v>
      </c>
      <c r="E798" s="15">
        <v>1.0</v>
      </c>
      <c r="F798" s="20" t="s">
        <v>83</v>
      </c>
    </row>
    <row r="799" ht="15.75" customHeight="1">
      <c r="A799" s="14" t="s">
        <v>77</v>
      </c>
      <c r="B799" s="16" t="s">
        <v>51</v>
      </c>
      <c r="C799" s="16" t="s">
        <v>97</v>
      </c>
      <c r="D799" s="17" t="s">
        <v>1300</v>
      </c>
      <c r="E799" s="15">
        <v>1.0</v>
      </c>
      <c r="F799" s="20" t="s">
        <v>83</v>
      </c>
    </row>
    <row r="800" ht="15.75" customHeight="1">
      <c r="A800" s="14" t="s">
        <v>77</v>
      </c>
      <c r="B800" s="16" t="s">
        <v>51</v>
      </c>
      <c r="C800" s="16" t="s">
        <v>97</v>
      </c>
      <c r="D800" s="17" t="s">
        <v>1310</v>
      </c>
      <c r="E800" s="15">
        <v>1.0</v>
      </c>
      <c r="F800" s="20" t="s">
        <v>83</v>
      </c>
    </row>
    <row r="801" ht="15.75" customHeight="1">
      <c r="A801" s="14" t="s">
        <v>77</v>
      </c>
      <c r="B801" s="16" t="s">
        <v>51</v>
      </c>
      <c r="C801" s="16" t="s">
        <v>97</v>
      </c>
      <c r="D801" s="17" t="s">
        <v>1324</v>
      </c>
      <c r="E801" s="15">
        <v>1.0</v>
      </c>
      <c r="F801" s="20" t="s">
        <v>83</v>
      </c>
    </row>
    <row r="802" ht="15.75" customHeight="1">
      <c r="A802" s="14" t="s">
        <v>77</v>
      </c>
      <c r="B802" s="16" t="s">
        <v>51</v>
      </c>
      <c r="C802" s="16" t="s">
        <v>97</v>
      </c>
      <c r="D802" s="17" t="s">
        <v>1338</v>
      </c>
      <c r="E802" s="15">
        <v>1.0</v>
      </c>
      <c r="F802" s="20" t="s">
        <v>83</v>
      </c>
    </row>
    <row r="803" ht="15.75" customHeight="1">
      <c r="A803" s="14" t="s">
        <v>77</v>
      </c>
      <c r="B803" s="16" t="s">
        <v>51</v>
      </c>
      <c r="C803" s="16" t="s">
        <v>97</v>
      </c>
      <c r="D803" s="17" t="s">
        <v>1351</v>
      </c>
      <c r="E803" s="15">
        <v>1.0</v>
      </c>
      <c r="F803" s="20" t="s">
        <v>83</v>
      </c>
    </row>
    <row r="804" ht="15.75" customHeight="1">
      <c r="A804" s="14" t="s">
        <v>77</v>
      </c>
      <c r="B804" s="16" t="s">
        <v>51</v>
      </c>
      <c r="C804" s="16" t="s">
        <v>97</v>
      </c>
      <c r="D804" s="17" t="s">
        <v>1359</v>
      </c>
      <c r="E804" s="15">
        <v>1.0</v>
      </c>
      <c r="F804" s="20" t="s">
        <v>83</v>
      </c>
    </row>
    <row r="805" ht="15.75" customHeight="1">
      <c r="A805" s="14" t="s">
        <v>77</v>
      </c>
      <c r="B805" s="16" t="s">
        <v>51</v>
      </c>
      <c r="C805" s="16" t="s">
        <v>97</v>
      </c>
      <c r="D805" s="17" t="s">
        <v>577</v>
      </c>
      <c r="E805" s="15">
        <v>96.0</v>
      </c>
      <c r="F805" s="20" t="s">
        <v>83</v>
      </c>
    </row>
    <row r="806" ht="15.75" customHeight="1">
      <c r="A806" s="14" t="s">
        <v>77</v>
      </c>
      <c r="B806" s="16" t="s">
        <v>51</v>
      </c>
      <c r="C806" s="16" t="s">
        <v>97</v>
      </c>
      <c r="D806" s="17" t="s">
        <v>821</v>
      </c>
      <c r="E806" s="15">
        <v>41.0</v>
      </c>
      <c r="F806" s="20" t="s">
        <v>83</v>
      </c>
    </row>
    <row r="807" ht="15.75" customHeight="1">
      <c r="A807" s="14" t="s">
        <v>77</v>
      </c>
      <c r="B807" s="16" t="s">
        <v>51</v>
      </c>
      <c r="C807" s="16" t="s">
        <v>97</v>
      </c>
      <c r="D807" s="17" t="s">
        <v>579</v>
      </c>
      <c r="E807" s="15">
        <v>23.0</v>
      </c>
      <c r="F807" s="20" t="s">
        <v>83</v>
      </c>
    </row>
    <row r="808" ht="15.75" customHeight="1">
      <c r="A808" s="14" t="s">
        <v>77</v>
      </c>
      <c r="B808" s="16" t="s">
        <v>51</v>
      </c>
      <c r="C808" s="16" t="s">
        <v>97</v>
      </c>
      <c r="D808" s="17" t="s">
        <v>580</v>
      </c>
      <c r="E808" s="15">
        <v>3.0</v>
      </c>
      <c r="F808" s="20" t="s">
        <v>83</v>
      </c>
    </row>
    <row r="809" ht="15.75" customHeight="1">
      <c r="A809" s="14" t="s">
        <v>77</v>
      </c>
      <c r="B809" s="16" t="s">
        <v>51</v>
      </c>
      <c r="C809" s="16" t="s">
        <v>97</v>
      </c>
      <c r="D809" s="17" t="s">
        <v>1258</v>
      </c>
      <c r="E809" s="15">
        <v>2.0</v>
      </c>
      <c r="F809" s="20" t="s">
        <v>83</v>
      </c>
    </row>
    <row r="810" ht="15.75" customHeight="1">
      <c r="A810" s="14" t="s">
        <v>77</v>
      </c>
      <c r="B810" s="16" t="s">
        <v>51</v>
      </c>
      <c r="C810" s="16" t="s">
        <v>97</v>
      </c>
      <c r="D810" s="17" t="s">
        <v>1266</v>
      </c>
      <c r="E810" s="15">
        <v>1.0</v>
      </c>
      <c r="F810" s="20" t="s">
        <v>83</v>
      </c>
    </row>
    <row r="811" ht="15.75" customHeight="1">
      <c r="A811" s="14" t="s">
        <v>77</v>
      </c>
      <c r="B811" s="16" t="s">
        <v>51</v>
      </c>
      <c r="C811" s="16" t="s">
        <v>97</v>
      </c>
      <c r="D811" s="17" t="s">
        <v>1186</v>
      </c>
      <c r="E811" s="15">
        <v>5.0</v>
      </c>
      <c r="F811" s="20" t="s">
        <v>83</v>
      </c>
    </row>
    <row r="812" ht="15.75" customHeight="1">
      <c r="A812" s="14" t="s">
        <v>77</v>
      </c>
      <c r="B812" s="16" t="s">
        <v>51</v>
      </c>
      <c r="C812" s="16" t="s">
        <v>97</v>
      </c>
      <c r="D812" s="17" t="s">
        <v>1199</v>
      </c>
      <c r="E812" s="15">
        <v>5.0</v>
      </c>
      <c r="F812" s="20" t="s">
        <v>83</v>
      </c>
    </row>
    <row r="813" ht="15.75" customHeight="1">
      <c r="A813" s="14" t="s">
        <v>77</v>
      </c>
      <c r="B813" s="16" t="s">
        <v>51</v>
      </c>
      <c r="C813" s="16" t="s">
        <v>97</v>
      </c>
      <c r="D813" s="17" t="s">
        <v>1201</v>
      </c>
      <c r="E813" s="15">
        <v>1.0</v>
      </c>
      <c r="F813" s="20" t="s">
        <v>83</v>
      </c>
    </row>
    <row r="814" ht="15.75" customHeight="1">
      <c r="A814" s="14" t="s">
        <v>77</v>
      </c>
      <c r="B814" s="16" t="s">
        <v>51</v>
      </c>
      <c r="C814" s="16" t="s">
        <v>97</v>
      </c>
      <c r="D814" s="17" t="s">
        <v>1196</v>
      </c>
      <c r="E814" s="15">
        <v>5.0</v>
      </c>
      <c r="F814" s="20" t="s">
        <v>83</v>
      </c>
    </row>
    <row r="815" ht="15.75" customHeight="1">
      <c r="A815" s="14" t="s">
        <v>77</v>
      </c>
      <c r="B815" s="16" t="s">
        <v>51</v>
      </c>
      <c r="C815" s="16" t="s">
        <v>97</v>
      </c>
      <c r="D815" s="17" t="s">
        <v>1204</v>
      </c>
      <c r="E815" s="15">
        <v>2.0</v>
      </c>
      <c r="F815" s="20" t="s">
        <v>83</v>
      </c>
    </row>
    <row r="816" ht="15.75" customHeight="1">
      <c r="A816" s="14" t="s">
        <v>77</v>
      </c>
      <c r="B816" s="16" t="s">
        <v>51</v>
      </c>
      <c r="C816" s="16" t="s">
        <v>97</v>
      </c>
      <c r="D816" s="17" t="s">
        <v>1212</v>
      </c>
      <c r="E816" s="15">
        <v>2.0</v>
      </c>
      <c r="F816" s="20" t="s">
        <v>83</v>
      </c>
    </row>
    <row r="817" ht="15.75" customHeight="1">
      <c r="A817" s="14" t="s">
        <v>77</v>
      </c>
      <c r="B817" s="16" t="s">
        <v>51</v>
      </c>
      <c r="C817" s="16" t="s">
        <v>97</v>
      </c>
      <c r="D817" s="17" t="s">
        <v>1209</v>
      </c>
      <c r="E817" s="15">
        <v>2.0</v>
      </c>
      <c r="F817" s="20" t="s">
        <v>83</v>
      </c>
    </row>
    <row r="818" ht="15.75" customHeight="1">
      <c r="A818" s="14" t="s">
        <v>77</v>
      </c>
      <c r="B818" s="16" t="s">
        <v>51</v>
      </c>
      <c r="C818" s="16" t="s">
        <v>97</v>
      </c>
      <c r="D818" s="17" t="s">
        <v>1216</v>
      </c>
      <c r="E818" s="15">
        <v>1.0</v>
      </c>
      <c r="F818" s="20" t="s">
        <v>83</v>
      </c>
    </row>
    <row r="819" ht="15.75" customHeight="1">
      <c r="A819" s="14" t="s">
        <v>77</v>
      </c>
      <c r="B819" s="16" t="s">
        <v>51</v>
      </c>
      <c r="C819" s="16" t="s">
        <v>97</v>
      </c>
      <c r="D819" s="17" t="s">
        <v>1225</v>
      </c>
      <c r="E819" s="15">
        <v>1.0</v>
      </c>
      <c r="F819" s="20" t="s">
        <v>83</v>
      </c>
    </row>
    <row r="820" ht="15.75" customHeight="1">
      <c r="A820" s="14" t="s">
        <v>77</v>
      </c>
      <c r="B820" s="16" t="s">
        <v>51</v>
      </c>
      <c r="C820" s="16" t="s">
        <v>97</v>
      </c>
      <c r="D820" s="17" t="s">
        <v>1221</v>
      </c>
      <c r="E820" s="15">
        <v>1.0</v>
      </c>
      <c r="F820" s="20" t="s">
        <v>83</v>
      </c>
    </row>
    <row r="821" ht="15.75" customHeight="1">
      <c r="A821" s="14" t="s">
        <v>77</v>
      </c>
      <c r="B821" s="16" t="s">
        <v>51</v>
      </c>
      <c r="C821" s="16" t="s">
        <v>97</v>
      </c>
      <c r="D821" s="17" t="s">
        <v>1083</v>
      </c>
      <c r="E821" s="15">
        <v>22.0</v>
      </c>
      <c r="F821" s="20" t="s">
        <v>83</v>
      </c>
    </row>
    <row r="822" ht="15.75" customHeight="1">
      <c r="A822" s="14" t="s">
        <v>77</v>
      </c>
      <c r="B822" s="16" t="s">
        <v>51</v>
      </c>
      <c r="C822" s="16" t="s">
        <v>97</v>
      </c>
      <c r="D822" s="17" t="s">
        <v>1127</v>
      </c>
      <c r="E822" s="15">
        <v>51.0</v>
      </c>
      <c r="F822" s="20" t="s">
        <v>83</v>
      </c>
    </row>
    <row r="823" ht="15.75" customHeight="1">
      <c r="A823" s="14" t="s">
        <v>77</v>
      </c>
      <c r="B823" s="16" t="s">
        <v>51</v>
      </c>
      <c r="C823" s="16" t="s">
        <v>97</v>
      </c>
      <c r="D823" s="17" t="s">
        <v>1135</v>
      </c>
      <c r="E823" s="15">
        <v>51.0</v>
      </c>
      <c r="F823" s="20" t="s">
        <v>83</v>
      </c>
    </row>
    <row r="824" ht="15.75" customHeight="1">
      <c r="A824" s="14" t="s">
        <v>77</v>
      </c>
      <c r="B824" s="16" t="s">
        <v>51</v>
      </c>
      <c r="C824" s="16" t="s">
        <v>97</v>
      </c>
      <c r="D824" s="17" t="s">
        <v>1088</v>
      </c>
      <c r="E824" s="15">
        <v>8.0</v>
      </c>
      <c r="F824" s="20" t="s">
        <v>83</v>
      </c>
    </row>
    <row r="825" ht="15.75" customHeight="1">
      <c r="A825" s="14" t="s">
        <v>77</v>
      </c>
      <c r="B825" s="16" t="s">
        <v>51</v>
      </c>
      <c r="C825" s="16" t="s">
        <v>97</v>
      </c>
      <c r="D825" s="17" t="s">
        <v>1132</v>
      </c>
      <c r="E825" s="15">
        <v>51.0</v>
      </c>
      <c r="F825" s="20" t="s">
        <v>83</v>
      </c>
    </row>
    <row r="826" ht="15.75" customHeight="1">
      <c r="A826" s="14" t="s">
        <v>77</v>
      </c>
      <c r="B826" s="16" t="s">
        <v>51</v>
      </c>
      <c r="C826" s="16" t="s">
        <v>97</v>
      </c>
      <c r="D826" s="17" t="s">
        <v>1140</v>
      </c>
      <c r="E826" s="15">
        <v>20.0</v>
      </c>
      <c r="F826" s="20" t="s">
        <v>83</v>
      </c>
    </row>
    <row r="827" ht="15.75" customHeight="1">
      <c r="A827" s="14" t="s">
        <v>77</v>
      </c>
      <c r="B827" s="16" t="s">
        <v>51</v>
      </c>
      <c r="C827" s="16" t="s">
        <v>97</v>
      </c>
      <c r="D827" s="17" t="s">
        <v>1147</v>
      </c>
      <c r="E827" s="15">
        <v>20.0</v>
      </c>
      <c r="F827" s="20" t="s">
        <v>83</v>
      </c>
    </row>
    <row r="828" ht="15.75" customHeight="1">
      <c r="A828" s="14" t="s">
        <v>77</v>
      </c>
      <c r="B828" s="16" t="s">
        <v>51</v>
      </c>
      <c r="C828" s="16" t="s">
        <v>97</v>
      </c>
      <c r="D828" s="17" t="s">
        <v>1094</v>
      </c>
      <c r="E828" s="15">
        <v>4.0</v>
      </c>
      <c r="F828" s="20" t="s">
        <v>83</v>
      </c>
    </row>
    <row r="829" ht="15.75" customHeight="1">
      <c r="A829" s="14" t="s">
        <v>77</v>
      </c>
      <c r="B829" s="16" t="s">
        <v>51</v>
      </c>
      <c r="C829" s="16" t="s">
        <v>97</v>
      </c>
      <c r="D829" s="17" t="s">
        <v>1144</v>
      </c>
      <c r="E829" s="15">
        <v>20.0</v>
      </c>
      <c r="F829" s="20" t="s">
        <v>83</v>
      </c>
    </row>
    <row r="830" ht="15.75" customHeight="1">
      <c r="A830" s="14" t="s">
        <v>77</v>
      </c>
      <c r="B830" s="16" t="s">
        <v>51</v>
      </c>
      <c r="C830" s="16" t="s">
        <v>97</v>
      </c>
      <c r="D830" s="17" t="s">
        <v>1153</v>
      </c>
      <c r="E830" s="15">
        <v>8.0</v>
      </c>
      <c r="F830" s="20" t="s">
        <v>83</v>
      </c>
    </row>
    <row r="831" ht="15.75" customHeight="1">
      <c r="A831" s="14" t="s">
        <v>77</v>
      </c>
      <c r="B831" s="16" t="s">
        <v>51</v>
      </c>
      <c r="C831" s="16" t="s">
        <v>97</v>
      </c>
      <c r="D831" s="17" t="s">
        <v>1166</v>
      </c>
      <c r="E831" s="15">
        <v>8.0</v>
      </c>
      <c r="F831" s="20" t="s">
        <v>83</v>
      </c>
    </row>
    <row r="832" ht="15.75" customHeight="1">
      <c r="A832" s="14" t="s">
        <v>77</v>
      </c>
      <c r="B832" s="16" t="s">
        <v>51</v>
      </c>
      <c r="C832" s="16" t="s">
        <v>97</v>
      </c>
      <c r="D832" s="17" t="s">
        <v>1176</v>
      </c>
      <c r="E832" s="15">
        <v>3.0</v>
      </c>
      <c r="F832" s="20" t="s">
        <v>83</v>
      </c>
    </row>
    <row r="833" ht="15.75" customHeight="1">
      <c r="A833" s="14" t="s">
        <v>77</v>
      </c>
      <c r="B833" s="16" t="s">
        <v>51</v>
      </c>
      <c r="C833" s="16" t="s">
        <v>97</v>
      </c>
      <c r="D833" s="17" t="s">
        <v>1157</v>
      </c>
      <c r="E833" s="15">
        <v>8.0</v>
      </c>
      <c r="F833" s="20" t="s">
        <v>83</v>
      </c>
    </row>
    <row r="834" ht="15.75" customHeight="1">
      <c r="A834" s="14" t="s">
        <v>77</v>
      </c>
      <c r="B834" s="16" t="s">
        <v>51</v>
      </c>
      <c r="C834" s="16" t="s">
        <v>97</v>
      </c>
      <c r="D834" s="17" t="s">
        <v>852</v>
      </c>
      <c r="E834" s="15">
        <v>26.0</v>
      </c>
      <c r="F834" s="20" t="s">
        <v>83</v>
      </c>
    </row>
    <row r="835" ht="15.75" customHeight="1">
      <c r="A835" s="14" t="s">
        <v>77</v>
      </c>
      <c r="B835" s="16" t="s">
        <v>51</v>
      </c>
      <c r="C835" s="16" t="s">
        <v>97</v>
      </c>
      <c r="D835" s="17" t="s">
        <v>2271</v>
      </c>
      <c r="E835" s="15">
        <v>1.0</v>
      </c>
      <c r="F835" s="20" t="s">
        <v>83</v>
      </c>
    </row>
    <row r="836" ht="15.75" customHeight="1">
      <c r="A836" s="14" t="s">
        <v>77</v>
      </c>
      <c r="B836" s="16" t="s">
        <v>51</v>
      </c>
      <c r="C836" s="16" t="s">
        <v>97</v>
      </c>
      <c r="D836" s="17" t="s">
        <v>2272</v>
      </c>
      <c r="E836" s="15">
        <v>1.0</v>
      </c>
      <c r="F836" s="20" t="s">
        <v>83</v>
      </c>
    </row>
    <row r="837" ht="15.75" customHeight="1">
      <c r="A837" s="14" t="s">
        <v>77</v>
      </c>
      <c r="B837" s="16" t="s">
        <v>51</v>
      </c>
      <c r="C837" s="16" t="s">
        <v>97</v>
      </c>
      <c r="D837" s="17" t="s">
        <v>2276</v>
      </c>
      <c r="E837" s="15">
        <v>1.0</v>
      </c>
      <c r="F837" s="20" t="s">
        <v>83</v>
      </c>
    </row>
    <row r="838" ht="15.75" customHeight="1">
      <c r="A838" s="14" t="s">
        <v>77</v>
      </c>
      <c r="B838" s="16" t="s">
        <v>51</v>
      </c>
      <c r="C838" s="16" t="s">
        <v>97</v>
      </c>
      <c r="D838" s="17" t="s">
        <v>2277</v>
      </c>
      <c r="E838" s="15">
        <v>1.0</v>
      </c>
      <c r="F838" s="20" t="s">
        <v>83</v>
      </c>
    </row>
    <row r="839" ht="15.75" customHeight="1">
      <c r="A839" s="14" t="s">
        <v>77</v>
      </c>
      <c r="B839" s="16" t="s">
        <v>51</v>
      </c>
      <c r="C839" s="16" t="s">
        <v>97</v>
      </c>
      <c r="D839" s="17" t="s">
        <v>435</v>
      </c>
      <c r="E839" s="15">
        <v>1.0</v>
      </c>
      <c r="F839" s="20" t="s">
        <v>83</v>
      </c>
    </row>
    <row r="840" ht="15.75" customHeight="1">
      <c r="A840" s="14" t="s">
        <v>77</v>
      </c>
      <c r="B840" s="16" t="s">
        <v>51</v>
      </c>
      <c r="C840" s="16" t="s">
        <v>97</v>
      </c>
      <c r="D840" s="17" t="s">
        <v>2279</v>
      </c>
      <c r="E840" s="15">
        <v>1.0</v>
      </c>
      <c r="F840" s="20" t="s">
        <v>83</v>
      </c>
    </row>
    <row r="841" ht="15.75" customHeight="1">
      <c r="A841" s="14" t="s">
        <v>77</v>
      </c>
      <c r="B841" s="16" t="s">
        <v>51</v>
      </c>
      <c r="C841" s="16" t="s">
        <v>97</v>
      </c>
      <c r="D841" s="17" t="s">
        <v>2282</v>
      </c>
      <c r="E841" s="15">
        <v>1.0</v>
      </c>
      <c r="F841" s="20" t="s">
        <v>83</v>
      </c>
    </row>
    <row r="842" ht="15.75" customHeight="1">
      <c r="A842" s="14" t="s">
        <v>77</v>
      </c>
      <c r="B842" s="16" t="s">
        <v>51</v>
      </c>
      <c r="C842" s="16" t="s">
        <v>97</v>
      </c>
      <c r="D842" s="17" t="s">
        <v>1868</v>
      </c>
      <c r="E842" s="15">
        <v>1.0</v>
      </c>
      <c r="F842" s="20" t="s">
        <v>83</v>
      </c>
    </row>
    <row r="843" ht="15.75" customHeight="1">
      <c r="A843" s="14" t="s">
        <v>77</v>
      </c>
      <c r="B843" s="16" t="s">
        <v>51</v>
      </c>
      <c r="C843" s="16" t="s">
        <v>97</v>
      </c>
      <c r="D843" s="17" t="s">
        <v>1871</v>
      </c>
      <c r="E843" s="15">
        <v>1.0</v>
      </c>
      <c r="F843" s="20" t="s">
        <v>83</v>
      </c>
    </row>
    <row r="844" ht="15.75" customHeight="1">
      <c r="A844" s="14" t="s">
        <v>77</v>
      </c>
      <c r="B844" s="16" t="s">
        <v>51</v>
      </c>
      <c r="C844" s="16" t="s">
        <v>97</v>
      </c>
      <c r="D844" s="17" t="s">
        <v>596</v>
      </c>
      <c r="E844" s="15">
        <v>49.0</v>
      </c>
      <c r="F844" s="20" t="s">
        <v>83</v>
      </c>
    </row>
    <row r="845" ht="15.75" customHeight="1">
      <c r="A845" s="14" t="s">
        <v>77</v>
      </c>
      <c r="B845" s="16" t="s">
        <v>51</v>
      </c>
      <c r="C845" s="16" t="s">
        <v>97</v>
      </c>
      <c r="D845" s="17" t="s">
        <v>1600</v>
      </c>
      <c r="E845" s="15">
        <v>21.0</v>
      </c>
      <c r="F845" s="20" t="s">
        <v>83</v>
      </c>
    </row>
    <row r="846" ht="15.75" customHeight="1">
      <c r="A846" s="14" t="s">
        <v>77</v>
      </c>
      <c r="B846" s="16" t="s">
        <v>51</v>
      </c>
      <c r="C846" s="16" t="s">
        <v>97</v>
      </c>
      <c r="D846" s="17" t="s">
        <v>1604</v>
      </c>
      <c r="E846" s="15">
        <v>10.0</v>
      </c>
      <c r="F846" s="20" t="s">
        <v>83</v>
      </c>
    </row>
    <row r="847" ht="15.75" customHeight="1">
      <c r="A847" s="14" t="s">
        <v>77</v>
      </c>
      <c r="B847" s="16" t="s">
        <v>51</v>
      </c>
      <c r="C847" s="16" t="s">
        <v>97</v>
      </c>
      <c r="D847" s="17" t="s">
        <v>1508</v>
      </c>
      <c r="E847" s="15">
        <v>1.0</v>
      </c>
      <c r="F847" s="20" t="s">
        <v>83</v>
      </c>
    </row>
    <row r="848" ht="15.75" customHeight="1">
      <c r="A848" s="14" t="s">
        <v>77</v>
      </c>
      <c r="B848" s="16" t="s">
        <v>51</v>
      </c>
      <c r="C848" s="16" t="s">
        <v>97</v>
      </c>
      <c r="D848" s="17" t="s">
        <v>1526</v>
      </c>
      <c r="E848" s="15">
        <v>1.0</v>
      </c>
      <c r="F848" s="20" t="s">
        <v>83</v>
      </c>
    </row>
    <row r="849" ht="15.75" customHeight="1">
      <c r="A849" s="14" t="s">
        <v>77</v>
      </c>
      <c r="B849" s="16" t="s">
        <v>51</v>
      </c>
      <c r="C849" s="16" t="s">
        <v>97</v>
      </c>
      <c r="D849" s="17" t="s">
        <v>1513</v>
      </c>
      <c r="E849" s="15">
        <v>1.0</v>
      </c>
      <c r="F849" s="20" t="s">
        <v>83</v>
      </c>
    </row>
    <row r="850" ht="15.75" customHeight="1">
      <c r="A850" s="14" t="s">
        <v>77</v>
      </c>
      <c r="B850" s="16" t="s">
        <v>51</v>
      </c>
      <c r="C850" s="16" t="s">
        <v>97</v>
      </c>
      <c r="D850" s="17" t="s">
        <v>1538</v>
      </c>
      <c r="E850" s="15">
        <v>1.0</v>
      </c>
      <c r="F850" s="20" t="s">
        <v>83</v>
      </c>
    </row>
    <row r="851" ht="15.75" customHeight="1">
      <c r="A851" s="14" t="s">
        <v>77</v>
      </c>
      <c r="B851" s="16" t="s">
        <v>51</v>
      </c>
      <c r="C851" s="16" t="s">
        <v>97</v>
      </c>
      <c r="D851" s="17" t="s">
        <v>1561</v>
      </c>
      <c r="E851" s="15">
        <v>1.0</v>
      </c>
      <c r="F851" s="20" t="s">
        <v>83</v>
      </c>
    </row>
    <row r="852" ht="15.75" customHeight="1">
      <c r="A852" s="14" t="s">
        <v>77</v>
      </c>
      <c r="B852" s="16" t="s">
        <v>51</v>
      </c>
      <c r="C852" s="16" t="s">
        <v>97</v>
      </c>
      <c r="D852" s="17" t="s">
        <v>1552</v>
      </c>
      <c r="E852" s="15">
        <v>1.0</v>
      </c>
      <c r="F852" s="20" t="s">
        <v>83</v>
      </c>
    </row>
    <row r="853" ht="15.75" customHeight="1">
      <c r="A853" s="14" t="s">
        <v>77</v>
      </c>
      <c r="B853" s="16" t="s">
        <v>51</v>
      </c>
      <c r="C853" s="16" t="s">
        <v>97</v>
      </c>
      <c r="D853" s="17" t="s">
        <v>1572</v>
      </c>
      <c r="E853" s="15">
        <v>1.0</v>
      </c>
      <c r="F853" s="20" t="s">
        <v>83</v>
      </c>
    </row>
    <row r="854" ht="15.75" customHeight="1">
      <c r="A854" s="14" t="s">
        <v>77</v>
      </c>
      <c r="B854" s="16" t="s">
        <v>51</v>
      </c>
      <c r="C854" s="16" t="s">
        <v>97</v>
      </c>
      <c r="D854" s="17" t="s">
        <v>1584</v>
      </c>
      <c r="E854" s="15">
        <v>1.0</v>
      </c>
      <c r="F854" s="20" t="s">
        <v>83</v>
      </c>
    </row>
    <row r="855" ht="15.75" customHeight="1">
      <c r="A855" s="14" t="s">
        <v>77</v>
      </c>
      <c r="B855" s="16" t="s">
        <v>51</v>
      </c>
      <c r="C855" s="16" t="s">
        <v>97</v>
      </c>
      <c r="D855" s="17" t="s">
        <v>1582</v>
      </c>
      <c r="E855" s="15">
        <v>1.0</v>
      </c>
      <c r="F855" s="20" t="s">
        <v>83</v>
      </c>
    </row>
    <row r="856" ht="15.75" customHeight="1">
      <c r="A856" s="14" t="s">
        <v>77</v>
      </c>
      <c r="B856" s="16" t="s">
        <v>51</v>
      </c>
      <c r="C856" s="16" t="s">
        <v>97</v>
      </c>
      <c r="D856" s="17" t="s">
        <v>1448</v>
      </c>
      <c r="E856" s="15">
        <v>52.0</v>
      </c>
      <c r="F856" s="20" t="s">
        <v>83</v>
      </c>
    </row>
    <row r="857" ht="15.75" customHeight="1">
      <c r="A857" s="14" t="s">
        <v>77</v>
      </c>
      <c r="B857" s="16" t="s">
        <v>51</v>
      </c>
      <c r="C857" s="16" t="s">
        <v>97</v>
      </c>
      <c r="D857" s="17" t="s">
        <v>1459</v>
      </c>
      <c r="E857" s="15">
        <v>52.0</v>
      </c>
      <c r="F857" s="20" t="s">
        <v>83</v>
      </c>
    </row>
    <row r="858" ht="15.75" customHeight="1">
      <c r="A858" s="14" t="s">
        <v>77</v>
      </c>
      <c r="B858" s="16" t="s">
        <v>51</v>
      </c>
      <c r="C858" s="16" t="s">
        <v>97</v>
      </c>
      <c r="D858" s="17" t="s">
        <v>1471</v>
      </c>
      <c r="E858" s="15">
        <v>9.0</v>
      </c>
      <c r="F858" s="20" t="s">
        <v>83</v>
      </c>
    </row>
    <row r="859" ht="15.75" customHeight="1">
      <c r="A859" s="14" t="s">
        <v>77</v>
      </c>
      <c r="B859" s="16" t="s">
        <v>51</v>
      </c>
      <c r="C859" s="16" t="s">
        <v>97</v>
      </c>
      <c r="D859" s="17" t="s">
        <v>1455</v>
      </c>
      <c r="E859" s="15">
        <v>52.0</v>
      </c>
      <c r="F859" s="20" t="s">
        <v>83</v>
      </c>
    </row>
    <row r="860" ht="15.75" customHeight="1">
      <c r="A860" s="14" t="s">
        <v>77</v>
      </c>
      <c r="B860" s="16" t="s">
        <v>51</v>
      </c>
      <c r="C860" s="16" t="s">
        <v>97</v>
      </c>
      <c r="D860" s="17" t="s">
        <v>1481</v>
      </c>
      <c r="E860" s="15">
        <v>23.0</v>
      </c>
      <c r="F860" s="20" t="s">
        <v>83</v>
      </c>
    </row>
    <row r="861" ht="15.75" customHeight="1">
      <c r="A861" s="14" t="s">
        <v>77</v>
      </c>
      <c r="B861" s="16" t="s">
        <v>51</v>
      </c>
      <c r="C861" s="16" t="s">
        <v>97</v>
      </c>
      <c r="D861" s="17" t="s">
        <v>1493</v>
      </c>
      <c r="E861" s="15">
        <v>23.0</v>
      </c>
      <c r="F861" s="20" t="s">
        <v>83</v>
      </c>
    </row>
    <row r="862" ht="15.75" customHeight="1">
      <c r="A862" s="14" t="s">
        <v>77</v>
      </c>
      <c r="B862" s="16" t="s">
        <v>51</v>
      </c>
      <c r="C862" s="16" t="s">
        <v>97</v>
      </c>
      <c r="D862" s="17" t="s">
        <v>1495</v>
      </c>
      <c r="E862" s="15">
        <v>1.0</v>
      </c>
      <c r="F862" s="20" t="s">
        <v>83</v>
      </c>
    </row>
    <row r="863" ht="15.75" customHeight="1">
      <c r="A863" s="14" t="s">
        <v>77</v>
      </c>
      <c r="B863" s="16" t="s">
        <v>51</v>
      </c>
      <c r="C863" s="16" t="s">
        <v>97</v>
      </c>
      <c r="D863" s="17" t="s">
        <v>1488</v>
      </c>
      <c r="E863" s="15">
        <v>23.0</v>
      </c>
      <c r="F863" s="20" t="s">
        <v>83</v>
      </c>
    </row>
    <row r="864" ht="15.75" customHeight="1">
      <c r="A864" s="14" t="s">
        <v>77</v>
      </c>
      <c r="B864" s="16" t="s">
        <v>51</v>
      </c>
      <c r="C864" s="16" t="s">
        <v>97</v>
      </c>
      <c r="D864" s="17" t="s">
        <v>1496</v>
      </c>
      <c r="E864" s="15">
        <v>13.0</v>
      </c>
      <c r="F864" s="20" t="s">
        <v>83</v>
      </c>
    </row>
    <row r="865" ht="15.75" customHeight="1">
      <c r="A865" s="14" t="s">
        <v>77</v>
      </c>
      <c r="B865" s="16" t="s">
        <v>51</v>
      </c>
      <c r="C865" s="16" t="s">
        <v>97</v>
      </c>
      <c r="D865" s="17" t="s">
        <v>1500</v>
      </c>
      <c r="E865" s="15">
        <v>13.0</v>
      </c>
      <c r="F865" s="20" t="s">
        <v>83</v>
      </c>
    </row>
    <row r="866" ht="15.75" customHeight="1">
      <c r="A866" s="14" t="s">
        <v>77</v>
      </c>
      <c r="B866" s="16" t="s">
        <v>51</v>
      </c>
      <c r="C866" s="16" t="s">
        <v>97</v>
      </c>
      <c r="D866" s="17" t="s">
        <v>1502</v>
      </c>
      <c r="E866" s="15">
        <v>1.0</v>
      </c>
      <c r="F866" s="20" t="s">
        <v>83</v>
      </c>
    </row>
    <row r="867" ht="15.75" customHeight="1">
      <c r="A867" s="14" t="s">
        <v>77</v>
      </c>
      <c r="B867" s="16" t="s">
        <v>51</v>
      </c>
      <c r="C867" s="16" t="s">
        <v>97</v>
      </c>
      <c r="D867" s="17" t="s">
        <v>1499</v>
      </c>
      <c r="E867" s="15">
        <v>13.0</v>
      </c>
      <c r="F867" s="20" t="s">
        <v>83</v>
      </c>
    </row>
    <row r="868" ht="15.75" customHeight="1">
      <c r="A868" s="14" t="s">
        <v>77</v>
      </c>
      <c r="B868" s="16" t="s">
        <v>51</v>
      </c>
      <c r="C868" s="16" t="s">
        <v>97</v>
      </c>
      <c r="D868" s="17" t="s">
        <v>1503</v>
      </c>
      <c r="E868" s="15">
        <v>4.0</v>
      </c>
      <c r="F868" s="20" t="s">
        <v>83</v>
      </c>
    </row>
    <row r="869" ht="15.75" customHeight="1">
      <c r="A869" s="14" t="s">
        <v>77</v>
      </c>
      <c r="B869" s="16" t="s">
        <v>51</v>
      </c>
      <c r="C869" s="16" t="s">
        <v>97</v>
      </c>
      <c r="D869" s="17" t="s">
        <v>1507</v>
      </c>
      <c r="E869" s="15">
        <v>4.0</v>
      </c>
      <c r="F869" s="20" t="s">
        <v>83</v>
      </c>
    </row>
    <row r="870" ht="15.75" customHeight="1">
      <c r="A870" s="14" t="s">
        <v>77</v>
      </c>
      <c r="B870" s="16" t="s">
        <v>51</v>
      </c>
      <c r="C870" s="16" t="s">
        <v>97</v>
      </c>
      <c r="D870" s="17" t="s">
        <v>1506</v>
      </c>
      <c r="E870" s="15">
        <v>4.0</v>
      </c>
      <c r="F870" s="20" t="s">
        <v>83</v>
      </c>
    </row>
    <row r="871" ht="15.75" customHeight="1">
      <c r="A871" s="14" t="s">
        <v>77</v>
      </c>
      <c r="B871" s="16" t="s">
        <v>51</v>
      </c>
      <c r="C871" s="16" t="s">
        <v>97</v>
      </c>
      <c r="D871" s="17" t="s">
        <v>881</v>
      </c>
      <c r="E871" s="15">
        <v>11.0</v>
      </c>
      <c r="F871" s="20" t="s">
        <v>83</v>
      </c>
    </row>
    <row r="872" ht="15.75" customHeight="1">
      <c r="A872" s="14" t="s">
        <v>77</v>
      </c>
      <c r="B872" s="16" t="s">
        <v>51</v>
      </c>
      <c r="C872" s="16" t="s">
        <v>97</v>
      </c>
      <c r="D872" s="17" t="s">
        <v>1776</v>
      </c>
      <c r="E872" s="15">
        <v>24.0</v>
      </c>
      <c r="F872" s="20" t="s">
        <v>83</v>
      </c>
    </row>
    <row r="873" ht="15.75" customHeight="1">
      <c r="A873" s="14" t="s">
        <v>77</v>
      </c>
      <c r="B873" s="16" t="s">
        <v>51</v>
      </c>
      <c r="C873" s="16" t="s">
        <v>97</v>
      </c>
      <c r="D873" s="17" t="s">
        <v>1779</v>
      </c>
      <c r="E873" s="15">
        <v>7.0</v>
      </c>
      <c r="F873" s="20" t="s">
        <v>83</v>
      </c>
    </row>
    <row r="874" ht="15.75" customHeight="1">
      <c r="A874" s="14" t="s">
        <v>77</v>
      </c>
      <c r="B874" s="16" t="s">
        <v>51</v>
      </c>
      <c r="C874" s="16" t="s">
        <v>97</v>
      </c>
      <c r="D874" s="17" t="s">
        <v>1783</v>
      </c>
      <c r="E874" s="15">
        <v>3.0</v>
      </c>
      <c r="F874" s="20" t="s">
        <v>83</v>
      </c>
    </row>
    <row r="875" ht="15.75" customHeight="1">
      <c r="A875" s="14" t="s">
        <v>77</v>
      </c>
      <c r="B875" s="16" t="s">
        <v>51</v>
      </c>
      <c r="C875" s="16" t="s">
        <v>97</v>
      </c>
      <c r="D875" s="17" t="s">
        <v>1788</v>
      </c>
      <c r="E875" s="15">
        <v>1.0</v>
      </c>
      <c r="F875" s="20" t="s">
        <v>83</v>
      </c>
    </row>
    <row r="876" ht="15.75" customHeight="1">
      <c r="A876" s="14" t="s">
        <v>77</v>
      </c>
      <c r="B876" s="16" t="s">
        <v>51</v>
      </c>
      <c r="C876" s="16" t="s">
        <v>97</v>
      </c>
      <c r="D876" s="17" t="s">
        <v>1792</v>
      </c>
      <c r="E876" s="15">
        <v>1.0</v>
      </c>
      <c r="F876" s="20" t="s">
        <v>83</v>
      </c>
    </row>
    <row r="877" ht="15.75" customHeight="1">
      <c r="A877" s="14" t="s">
        <v>77</v>
      </c>
      <c r="B877" s="16" t="s">
        <v>51</v>
      </c>
      <c r="C877" s="16" t="s">
        <v>97</v>
      </c>
      <c r="D877" s="17" t="s">
        <v>1743</v>
      </c>
      <c r="E877" s="15">
        <v>3.0</v>
      </c>
      <c r="F877" s="20" t="s">
        <v>83</v>
      </c>
    </row>
    <row r="878" ht="15.75" customHeight="1">
      <c r="A878" s="14" t="s">
        <v>77</v>
      </c>
      <c r="B878" s="16" t="s">
        <v>51</v>
      </c>
      <c r="C878" s="16" t="s">
        <v>97</v>
      </c>
      <c r="D878" s="17" t="s">
        <v>1749</v>
      </c>
      <c r="E878" s="15">
        <v>3.0</v>
      </c>
      <c r="F878" s="20" t="s">
        <v>83</v>
      </c>
    </row>
    <row r="879" ht="15.75" customHeight="1">
      <c r="A879" s="14" t="s">
        <v>77</v>
      </c>
      <c r="B879" s="16" t="s">
        <v>51</v>
      </c>
      <c r="C879" s="16" t="s">
        <v>97</v>
      </c>
      <c r="D879" s="17" t="s">
        <v>1746</v>
      </c>
      <c r="E879" s="15">
        <v>3.0</v>
      </c>
      <c r="F879" s="20" t="s">
        <v>83</v>
      </c>
    </row>
    <row r="880" ht="15.75" customHeight="1">
      <c r="A880" s="14" t="s">
        <v>77</v>
      </c>
      <c r="B880" s="16" t="s">
        <v>51</v>
      </c>
      <c r="C880" s="16" t="s">
        <v>97</v>
      </c>
      <c r="D880" s="17" t="s">
        <v>1752</v>
      </c>
      <c r="E880" s="15">
        <v>1.0</v>
      </c>
      <c r="F880" s="20" t="s">
        <v>83</v>
      </c>
    </row>
    <row r="881" ht="15.75" customHeight="1">
      <c r="A881" s="14" t="s">
        <v>77</v>
      </c>
      <c r="B881" s="16" t="s">
        <v>51</v>
      </c>
      <c r="C881" s="16" t="s">
        <v>97</v>
      </c>
      <c r="D881" s="17" t="s">
        <v>1757</v>
      </c>
      <c r="E881" s="15">
        <v>1.0</v>
      </c>
      <c r="F881" s="20" t="s">
        <v>83</v>
      </c>
    </row>
    <row r="882" ht="15.75" customHeight="1">
      <c r="A882" s="14" t="s">
        <v>77</v>
      </c>
      <c r="B882" s="16" t="s">
        <v>51</v>
      </c>
      <c r="C882" s="16" t="s">
        <v>97</v>
      </c>
      <c r="D882" s="17" t="s">
        <v>1756</v>
      </c>
      <c r="E882" s="15">
        <v>1.0</v>
      </c>
      <c r="F882" s="20" t="s">
        <v>83</v>
      </c>
    </row>
    <row r="883" ht="15.75" customHeight="1">
      <c r="A883" s="14" t="s">
        <v>77</v>
      </c>
      <c r="B883" s="16" t="s">
        <v>51</v>
      </c>
      <c r="C883" s="16" t="s">
        <v>97</v>
      </c>
      <c r="D883" s="17" t="s">
        <v>1685</v>
      </c>
      <c r="E883" s="15">
        <v>1.0</v>
      </c>
      <c r="F883" s="20" t="s">
        <v>83</v>
      </c>
    </row>
    <row r="884" ht="15.75" customHeight="1">
      <c r="A884" s="14" t="s">
        <v>77</v>
      </c>
      <c r="B884" s="16" t="s">
        <v>51</v>
      </c>
      <c r="C884" s="16" t="s">
        <v>97</v>
      </c>
      <c r="D884" s="17" t="s">
        <v>1763</v>
      </c>
      <c r="E884" s="15">
        <v>1.0</v>
      </c>
      <c r="F884" s="20" t="s">
        <v>83</v>
      </c>
    </row>
    <row r="885" ht="15.75" customHeight="1">
      <c r="A885" s="14" t="s">
        <v>77</v>
      </c>
      <c r="B885" s="16" t="s">
        <v>51</v>
      </c>
      <c r="C885" s="16" t="s">
        <v>97</v>
      </c>
      <c r="D885" s="17" t="s">
        <v>1762</v>
      </c>
      <c r="E885" s="15">
        <v>1.0</v>
      </c>
      <c r="F885" s="20" t="s">
        <v>83</v>
      </c>
    </row>
    <row r="886" ht="15.75" customHeight="1">
      <c r="A886" s="14" t="s">
        <v>77</v>
      </c>
      <c r="B886" s="16" t="s">
        <v>51</v>
      </c>
      <c r="C886" s="16" t="s">
        <v>97</v>
      </c>
      <c r="D886" s="17" t="s">
        <v>1168</v>
      </c>
      <c r="E886" s="15">
        <v>97.0</v>
      </c>
      <c r="F886" s="20" t="s">
        <v>83</v>
      </c>
    </row>
    <row r="887" ht="15.75" customHeight="1">
      <c r="A887" s="14" t="s">
        <v>77</v>
      </c>
      <c r="B887" s="16" t="s">
        <v>51</v>
      </c>
      <c r="C887" s="16" t="s">
        <v>97</v>
      </c>
      <c r="D887" s="17" t="s">
        <v>1178</v>
      </c>
      <c r="E887" s="15">
        <v>74.0</v>
      </c>
      <c r="F887" s="20" t="s">
        <v>83</v>
      </c>
    </row>
    <row r="888" ht="15.75" customHeight="1">
      <c r="A888" s="14" t="s">
        <v>77</v>
      </c>
      <c r="B888" s="16" t="s">
        <v>51</v>
      </c>
      <c r="C888" s="16" t="s">
        <v>97</v>
      </c>
      <c r="D888" s="17" t="s">
        <v>1687</v>
      </c>
      <c r="E888" s="15">
        <v>31.0</v>
      </c>
      <c r="F888" s="20" t="s">
        <v>83</v>
      </c>
    </row>
    <row r="889" ht="15.75" customHeight="1">
      <c r="A889" s="14" t="s">
        <v>77</v>
      </c>
      <c r="B889" s="16" t="s">
        <v>51</v>
      </c>
      <c r="C889" s="16" t="s">
        <v>97</v>
      </c>
      <c r="D889" s="17" t="s">
        <v>1192</v>
      </c>
      <c r="E889" s="15">
        <v>31.0</v>
      </c>
      <c r="F889" s="20" t="s">
        <v>83</v>
      </c>
    </row>
    <row r="890" ht="15.75" customHeight="1">
      <c r="A890" s="14" t="s">
        <v>77</v>
      </c>
      <c r="B890" s="16" t="s">
        <v>51</v>
      </c>
      <c r="C890" s="16" t="s">
        <v>97</v>
      </c>
      <c r="D890" s="17" t="s">
        <v>1715</v>
      </c>
      <c r="E890" s="15">
        <v>1.0</v>
      </c>
      <c r="F890" s="20" t="s">
        <v>83</v>
      </c>
    </row>
    <row r="891" ht="15.75" customHeight="1">
      <c r="A891" s="14" t="s">
        <v>77</v>
      </c>
      <c r="B891" s="16" t="s">
        <v>51</v>
      </c>
      <c r="C891" s="16" t="s">
        <v>97</v>
      </c>
      <c r="D891" s="17" t="s">
        <v>1693</v>
      </c>
      <c r="E891" s="15">
        <v>31.0</v>
      </c>
      <c r="F891" s="20" t="s">
        <v>83</v>
      </c>
    </row>
    <row r="892" ht="15.75" customHeight="1">
      <c r="A892" s="14" t="s">
        <v>77</v>
      </c>
      <c r="B892" s="16" t="s">
        <v>51</v>
      </c>
      <c r="C892" s="16" t="s">
        <v>97</v>
      </c>
      <c r="D892" s="17" t="s">
        <v>1720</v>
      </c>
      <c r="E892" s="15">
        <v>18.0</v>
      </c>
      <c r="F892" s="20" t="s">
        <v>83</v>
      </c>
    </row>
    <row r="893" ht="15.75" customHeight="1">
      <c r="A893" s="14" t="s">
        <v>77</v>
      </c>
      <c r="B893" s="16" t="s">
        <v>51</v>
      </c>
      <c r="C893" s="16" t="s">
        <v>97</v>
      </c>
      <c r="D893" s="17" t="s">
        <v>1197</v>
      </c>
      <c r="E893" s="15">
        <v>18.0</v>
      </c>
      <c r="F893" s="20" t="s">
        <v>83</v>
      </c>
    </row>
    <row r="894" ht="15.75" customHeight="1">
      <c r="A894" s="14" t="s">
        <v>77</v>
      </c>
      <c r="B894" s="16" t="s">
        <v>51</v>
      </c>
      <c r="C894" s="16" t="s">
        <v>97</v>
      </c>
      <c r="D894" s="17" t="s">
        <v>1726</v>
      </c>
      <c r="E894" s="15">
        <v>1.0</v>
      </c>
      <c r="F894" s="20" t="s">
        <v>83</v>
      </c>
    </row>
    <row r="895" ht="15.75" customHeight="1">
      <c r="A895" s="14" t="s">
        <v>77</v>
      </c>
      <c r="B895" s="16" t="s">
        <v>51</v>
      </c>
      <c r="C895" s="16" t="s">
        <v>97</v>
      </c>
      <c r="D895" s="17" t="s">
        <v>1723</v>
      </c>
      <c r="E895" s="15">
        <v>18.0</v>
      </c>
      <c r="F895" s="20" t="s">
        <v>83</v>
      </c>
    </row>
    <row r="896" ht="15.75" customHeight="1">
      <c r="A896" s="14" t="s">
        <v>77</v>
      </c>
      <c r="B896" s="16" t="s">
        <v>51</v>
      </c>
      <c r="C896" s="16" t="s">
        <v>97</v>
      </c>
      <c r="D896" s="17" t="s">
        <v>1724</v>
      </c>
      <c r="E896" s="15">
        <v>8.0</v>
      </c>
      <c r="F896" s="20" t="s">
        <v>83</v>
      </c>
    </row>
    <row r="897" ht="15.75" customHeight="1">
      <c r="A897" s="14" t="s">
        <v>77</v>
      </c>
      <c r="B897" s="16" t="s">
        <v>51</v>
      </c>
      <c r="C897" s="16" t="s">
        <v>97</v>
      </c>
      <c r="D897" s="17" t="s">
        <v>1734</v>
      </c>
      <c r="E897" s="15">
        <v>8.0</v>
      </c>
      <c r="F897" s="20" t="s">
        <v>83</v>
      </c>
    </row>
    <row r="898" ht="15.75" customHeight="1">
      <c r="A898" s="14" t="s">
        <v>77</v>
      </c>
      <c r="B898" s="16" t="s">
        <v>51</v>
      </c>
      <c r="C898" s="16" t="s">
        <v>97</v>
      </c>
      <c r="D898" s="17" t="s">
        <v>1732</v>
      </c>
      <c r="E898" s="15">
        <v>8.0</v>
      </c>
      <c r="F898" s="20" t="s">
        <v>83</v>
      </c>
    </row>
    <row r="899" ht="15.75" customHeight="1">
      <c r="A899" s="14" t="s">
        <v>77</v>
      </c>
      <c r="B899" s="16" t="s">
        <v>51</v>
      </c>
      <c r="C899" s="16" t="s">
        <v>97</v>
      </c>
      <c r="D899" s="17" t="s">
        <v>1736</v>
      </c>
      <c r="E899" s="15">
        <v>3.0</v>
      </c>
      <c r="F899" s="20" t="s">
        <v>83</v>
      </c>
    </row>
    <row r="900" ht="15.75" customHeight="1">
      <c r="A900" s="14" t="s">
        <v>77</v>
      </c>
      <c r="B900" s="16" t="s">
        <v>51</v>
      </c>
      <c r="C900" s="16" t="s">
        <v>97</v>
      </c>
      <c r="D900" s="17" t="s">
        <v>1742</v>
      </c>
      <c r="E900" s="15">
        <v>3.0</v>
      </c>
      <c r="F900" s="20" t="s">
        <v>83</v>
      </c>
    </row>
    <row r="901" ht="15.75" customHeight="1">
      <c r="A901" s="14" t="s">
        <v>77</v>
      </c>
      <c r="B901" s="16" t="s">
        <v>51</v>
      </c>
      <c r="C901" s="16" t="s">
        <v>97</v>
      </c>
      <c r="D901" s="17" t="s">
        <v>1740</v>
      </c>
      <c r="E901" s="15">
        <v>3.0</v>
      </c>
      <c r="F901" s="20" t="s">
        <v>83</v>
      </c>
    </row>
    <row r="902" ht="15.75" customHeight="1">
      <c r="A902" s="14" t="s">
        <v>77</v>
      </c>
      <c r="B902" s="16" t="s">
        <v>51</v>
      </c>
      <c r="C902" s="16" t="s">
        <v>97</v>
      </c>
      <c r="D902" s="17" t="s">
        <v>625</v>
      </c>
      <c r="E902" s="15">
        <v>81.0</v>
      </c>
      <c r="F902" s="20" t="s">
        <v>83</v>
      </c>
    </row>
    <row r="903" ht="15.75" customHeight="1">
      <c r="A903" s="14" t="s">
        <v>77</v>
      </c>
      <c r="B903" s="16" t="s">
        <v>51</v>
      </c>
      <c r="C903" s="16" t="s">
        <v>97</v>
      </c>
      <c r="D903" s="17" t="s">
        <v>1634</v>
      </c>
      <c r="E903" s="15">
        <v>6.0</v>
      </c>
      <c r="F903" s="20" t="s">
        <v>83</v>
      </c>
    </row>
    <row r="904" ht="15.75" customHeight="1">
      <c r="A904" s="14" t="s">
        <v>77</v>
      </c>
      <c r="B904" s="16" t="s">
        <v>51</v>
      </c>
      <c r="C904" s="16" t="s">
        <v>97</v>
      </c>
      <c r="D904" s="17" t="s">
        <v>1202</v>
      </c>
      <c r="E904" s="15">
        <v>85.0</v>
      </c>
      <c r="F904" s="20" t="s">
        <v>83</v>
      </c>
    </row>
    <row r="905" ht="15.75" customHeight="1">
      <c r="A905" s="14" t="s">
        <v>77</v>
      </c>
      <c r="B905" s="16" t="s">
        <v>51</v>
      </c>
      <c r="C905" s="16" t="s">
        <v>97</v>
      </c>
      <c r="D905" s="17" t="s">
        <v>641</v>
      </c>
      <c r="E905" s="15">
        <v>83.0</v>
      </c>
      <c r="F905" s="20" t="s">
        <v>83</v>
      </c>
    </row>
    <row r="906" ht="15.75" customHeight="1">
      <c r="A906" s="14" t="s">
        <v>77</v>
      </c>
      <c r="B906" s="16" t="s">
        <v>51</v>
      </c>
      <c r="C906" s="16" t="s">
        <v>97</v>
      </c>
      <c r="D906" s="17" t="s">
        <v>1876</v>
      </c>
      <c r="E906" s="15">
        <v>13.0</v>
      </c>
      <c r="F906" s="20" t="s">
        <v>83</v>
      </c>
    </row>
    <row r="907" ht="15.75" customHeight="1">
      <c r="A907" s="14" t="s">
        <v>77</v>
      </c>
      <c r="B907" s="16" t="s">
        <v>51</v>
      </c>
      <c r="C907" s="16" t="s">
        <v>97</v>
      </c>
      <c r="D907" s="17" t="s">
        <v>1220</v>
      </c>
      <c r="E907" s="15">
        <v>61.0</v>
      </c>
      <c r="F907" s="20" t="s">
        <v>83</v>
      </c>
    </row>
    <row r="908" ht="15.75" customHeight="1">
      <c r="A908" s="14" t="s">
        <v>77</v>
      </c>
      <c r="B908" s="16" t="s">
        <v>51</v>
      </c>
      <c r="C908" s="16" t="s">
        <v>97</v>
      </c>
      <c r="D908" s="17" t="s">
        <v>1731</v>
      </c>
      <c r="E908" s="15">
        <v>55.0</v>
      </c>
      <c r="F908" s="20" t="s">
        <v>83</v>
      </c>
    </row>
    <row r="909" ht="15.75" customHeight="1">
      <c r="A909" s="14" t="s">
        <v>77</v>
      </c>
      <c r="B909" s="16" t="s">
        <v>51</v>
      </c>
      <c r="C909" s="16" t="s">
        <v>97</v>
      </c>
      <c r="D909" s="17" t="s">
        <v>1224</v>
      </c>
      <c r="E909" s="15">
        <v>55.0</v>
      </c>
      <c r="F909" s="20" t="s">
        <v>83</v>
      </c>
    </row>
    <row r="910" ht="15.75" customHeight="1">
      <c r="A910" s="14" t="s">
        <v>77</v>
      </c>
      <c r="B910" s="16" t="s">
        <v>51</v>
      </c>
      <c r="C910" s="16" t="s">
        <v>97</v>
      </c>
      <c r="D910" s="17" t="s">
        <v>1226</v>
      </c>
      <c r="E910" s="15">
        <v>25.0</v>
      </c>
      <c r="F910" s="20" t="s">
        <v>83</v>
      </c>
    </row>
    <row r="911" ht="15.75" customHeight="1">
      <c r="A911" s="14" t="s">
        <v>77</v>
      </c>
      <c r="B911" s="16" t="s">
        <v>51</v>
      </c>
      <c r="C911" s="16" t="s">
        <v>97</v>
      </c>
      <c r="D911" s="17" t="s">
        <v>1823</v>
      </c>
      <c r="E911" s="15">
        <v>55.0</v>
      </c>
      <c r="F911" s="20" t="s">
        <v>83</v>
      </c>
    </row>
    <row r="912" ht="15.75" customHeight="1">
      <c r="A912" s="14" t="s">
        <v>77</v>
      </c>
      <c r="B912" s="16" t="s">
        <v>51</v>
      </c>
      <c r="C912" s="16" t="s">
        <v>97</v>
      </c>
      <c r="D912" s="17" t="s">
        <v>1735</v>
      </c>
      <c r="E912" s="15">
        <v>36.0</v>
      </c>
      <c r="F912" s="20" t="s">
        <v>83</v>
      </c>
    </row>
    <row r="913" ht="15.75" customHeight="1">
      <c r="A913" s="14" t="s">
        <v>77</v>
      </c>
      <c r="B913" s="16" t="s">
        <v>51</v>
      </c>
      <c r="C913" s="16" t="s">
        <v>97</v>
      </c>
      <c r="D913" s="17" t="s">
        <v>1834</v>
      </c>
      <c r="E913" s="15">
        <v>36.0</v>
      </c>
      <c r="F913" s="20" t="s">
        <v>83</v>
      </c>
    </row>
    <row r="914" ht="15.75" customHeight="1">
      <c r="A914" s="14" t="s">
        <v>77</v>
      </c>
      <c r="B914" s="16" t="s">
        <v>51</v>
      </c>
      <c r="C914" s="16" t="s">
        <v>97</v>
      </c>
      <c r="D914" s="17" t="s">
        <v>1228</v>
      </c>
      <c r="E914" s="15">
        <v>20.0</v>
      </c>
      <c r="F914" s="20" t="s">
        <v>83</v>
      </c>
    </row>
    <row r="915" ht="15.75" customHeight="1">
      <c r="A915" s="14" t="s">
        <v>77</v>
      </c>
      <c r="B915" s="16" t="s">
        <v>51</v>
      </c>
      <c r="C915" s="16" t="s">
        <v>97</v>
      </c>
      <c r="D915" s="17" t="s">
        <v>1831</v>
      </c>
      <c r="E915" s="15">
        <v>36.0</v>
      </c>
      <c r="F915" s="20" t="s">
        <v>83</v>
      </c>
    </row>
    <row r="916" ht="15.75" customHeight="1">
      <c r="A916" s="14" t="s">
        <v>77</v>
      </c>
      <c r="B916" s="16" t="s">
        <v>51</v>
      </c>
      <c r="C916" s="16" t="s">
        <v>97</v>
      </c>
      <c r="D916" s="17" t="s">
        <v>1838</v>
      </c>
      <c r="E916" s="15">
        <v>6.0</v>
      </c>
      <c r="F916" s="20" t="s">
        <v>83</v>
      </c>
    </row>
    <row r="917" ht="15.75" customHeight="1">
      <c r="A917" s="14" t="s">
        <v>77</v>
      </c>
      <c r="B917" s="16" t="s">
        <v>51</v>
      </c>
      <c r="C917" s="16" t="s">
        <v>97</v>
      </c>
      <c r="D917" s="17" t="s">
        <v>1846</v>
      </c>
      <c r="E917" s="15">
        <v>6.0</v>
      </c>
      <c r="F917" s="20" t="s">
        <v>83</v>
      </c>
    </row>
    <row r="918" ht="15.75" customHeight="1">
      <c r="A918" s="14" t="s">
        <v>77</v>
      </c>
      <c r="B918" s="16" t="s">
        <v>51</v>
      </c>
      <c r="C918" s="16" t="s">
        <v>97</v>
      </c>
      <c r="D918" s="17" t="s">
        <v>1843</v>
      </c>
      <c r="E918" s="15">
        <v>6.0</v>
      </c>
      <c r="F918" s="20" t="s">
        <v>83</v>
      </c>
    </row>
    <row r="919" ht="15.75" customHeight="1">
      <c r="A919" s="14" t="s">
        <v>77</v>
      </c>
      <c r="B919" s="16" t="s">
        <v>51</v>
      </c>
      <c r="C919" s="16" t="s">
        <v>97</v>
      </c>
      <c r="D919" s="17" t="s">
        <v>1738</v>
      </c>
      <c r="E919" s="15">
        <v>3.0</v>
      </c>
      <c r="F919" s="20" t="s">
        <v>83</v>
      </c>
    </row>
    <row r="920" ht="15.75" customHeight="1">
      <c r="A920" s="14" t="s">
        <v>77</v>
      </c>
      <c r="B920" s="16" t="s">
        <v>51</v>
      </c>
      <c r="C920" s="16" t="s">
        <v>97</v>
      </c>
      <c r="D920" s="17" t="s">
        <v>1855</v>
      </c>
      <c r="E920" s="15">
        <v>3.0</v>
      </c>
      <c r="F920" s="20" t="s">
        <v>83</v>
      </c>
    </row>
    <row r="921" ht="15.75" customHeight="1">
      <c r="A921" s="14" t="s">
        <v>77</v>
      </c>
      <c r="B921" s="16" t="s">
        <v>51</v>
      </c>
      <c r="C921" s="16" t="s">
        <v>97</v>
      </c>
      <c r="D921" s="17" t="s">
        <v>1852</v>
      </c>
      <c r="E921" s="15">
        <v>3.0</v>
      </c>
      <c r="F921" s="20" t="s">
        <v>83</v>
      </c>
    </row>
    <row r="922" ht="15.75" customHeight="1">
      <c r="A922" s="14" t="s">
        <v>77</v>
      </c>
      <c r="B922" s="16" t="s">
        <v>51</v>
      </c>
      <c r="C922" s="16" t="s">
        <v>97</v>
      </c>
      <c r="D922" s="17" t="s">
        <v>1741</v>
      </c>
      <c r="E922" s="15">
        <v>1.0</v>
      </c>
      <c r="F922" s="20" t="s">
        <v>83</v>
      </c>
    </row>
    <row r="923" ht="15.75" customHeight="1">
      <c r="A923" s="14" t="s">
        <v>77</v>
      </c>
      <c r="B923" s="16" t="s">
        <v>51</v>
      </c>
      <c r="C923" s="16" t="s">
        <v>97</v>
      </c>
      <c r="D923" s="17" t="s">
        <v>1862</v>
      </c>
      <c r="E923" s="15">
        <v>1.0</v>
      </c>
      <c r="F923" s="20" t="s">
        <v>83</v>
      </c>
    </row>
    <row r="924" ht="15.75" customHeight="1">
      <c r="A924" s="14" t="s">
        <v>77</v>
      </c>
      <c r="B924" s="16" t="s">
        <v>51</v>
      </c>
      <c r="C924" s="16" t="s">
        <v>97</v>
      </c>
      <c r="D924" s="17" t="s">
        <v>1861</v>
      </c>
      <c r="E924" s="15">
        <v>1.0</v>
      </c>
      <c r="F924" s="20" t="s">
        <v>83</v>
      </c>
    </row>
    <row r="925" ht="15.75" customHeight="1">
      <c r="A925" s="14" t="s">
        <v>77</v>
      </c>
      <c r="B925" s="16" t="s">
        <v>51</v>
      </c>
      <c r="C925" s="16" t="s">
        <v>97</v>
      </c>
      <c r="D925" s="17" t="s">
        <v>1863</v>
      </c>
      <c r="E925" s="15">
        <v>1.0</v>
      </c>
      <c r="F925" s="20" t="s">
        <v>83</v>
      </c>
    </row>
    <row r="926" ht="15.75" customHeight="1">
      <c r="A926" s="14" t="s">
        <v>77</v>
      </c>
      <c r="B926" s="16" t="s">
        <v>51</v>
      </c>
      <c r="C926" s="16" t="s">
        <v>97</v>
      </c>
      <c r="D926" s="17" t="s">
        <v>1867</v>
      </c>
      <c r="E926" s="15">
        <v>1.0</v>
      </c>
      <c r="F926" s="20" t="s">
        <v>83</v>
      </c>
    </row>
    <row r="927" ht="15.75" customHeight="1">
      <c r="A927" s="14" t="s">
        <v>77</v>
      </c>
      <c r="B927" s="16" t="s">
        <v>51</v>
      </c>
      <c r="C927" s="16" t="s">
        <v>97</v>
      </c>
      <c r="D927" s="17" t="s">
        <v>1866</v>
      </c>
      <c r="E927" s="15">
        <v>1.0</v>
      </c>
      <c r="F927" s="20" t="s">
        <v>83</v>
      </c>
    </row>
    <row r="928" ht="15.75" customHeight="1">
      <c r="A928" s="14" t="s">
        <v>77</v>
      </c>
      <c r="B928" s="16" t="s">
        <v>51</v>
      </c>
      <c r="C928" s="16" t="s">
        <v>97</v>
      </c>
      <c r="D928" s="17" t="s">
        <v>646</v>
      </c>
      <c r="E928" s="15">
        <v>35.0</v>
      </c>
      <c r="F928" s="20" t="s">
        <v>83</v>
      </c>
    </row>
    <row r="929" ht="15.75" customHeight="1">
      <c r="A929" s="14" t="s">
        <v>77</v>
      </c>
      <c r="B929" s="16" t="s">
        <v>51</v>
      </c>
      <c r="C929" s="16" t="s">
        <v>97</v>
      </c>
      <c r="D929" s="17" t="s">
        <v>904</v>
      </c>
      <c r="E929" s="15">
        <v>5.0</v>
      </c>
      <c r="F929" s="20" t="s">
        <v>83</v>
      </c>
    </row>
    <row r="930" ht="15.75" customHeight="1">
      <c r="A930" s="14" t="s">
        <v>77</v>
      </c>
      <c r="B930" s="16" t="s">
        <v>51</v>
      </c>
      <c r="C930" s="16" t="s">
        <v>97</v>
      </c>
      <c r="D930" s="17" t="s">
        <v>1492</v>
      </c>
      <c r="E930" s="15">
        <v>19.0</v>
      </c>
      <c r="F930" s="20" t="s">
        <v>83</v>
      </c>
    </row>
    <row r="931" ht="15.75" customHeight="1">
      <c r="A931" s="14" t="s">
        <v>77</v>
      </c>
      <c r="B931" s="16" t="s">
        <v>51</v>
      </c>
      <c r="C931" s="16" t="s">
        <v>97</v>
      </c>
      <c r="D931" s="17" t="s">
        <v>657</v>
      </c>
      <c r="E931" s="15">
        <v>53.0</v>
      </c>
      <c r="F931" s="20" t="s">
        <v>83</v>
      </c>
    </row>
    <row r="932" ht="15.75" customHeight="1">
      <c r="A932" s="14" t="s">
        <v>77</v>
      </c>
      <c r="B932" s="16" t="s">
        <v>51</v>
      </c>
      <c r="C932" s="16" t="s">
        <v>97</v>
      </c>
      <c r="D932" s="17" t="s">
        <v>1946</v>
      </c>
      <c r="E932" s="15">
        <v>12.0</v>
      </c>
      <c r="F932" s="20" t="s">
        <v>83</v>
      </c>
    </row>
    <row r="933" ht="15.75" customHeight="1">
      <c r="A933" s="14" t="s">
        <v>77</v>
      </c>
      <c r="B933" s="16" t="s">
        <v>51</v>
      </c>
      <c r="C933" s="16" t="s">
        <v>97</v>
      </c>
      <c r="D933" s="17" t="s">
        <v>1748</v>
      </c>
      <c r="E933" s="15">
        <v>101.0</v>
      </c>
      <c r="F933" s="20" t="s">
        <v>83</v>
      </c>
    </row>
    <row r="934" ht="15.75" customHeight="1">
      <c r="A934" s="14" t="s">
        <v>77</v>
      </c>
      <c r="B934" s="16" t="s">
        <v>51</v>
      </c>
      <c r="C934" s="16" t="s">
        <v>97</v>
      </c>
      <c r="D934" s="17" t="s">
        <v>1249</v>
      </c>
      <c r="E934" s="15">
        <v>101.0</v>
      </c>
      <c r="F934" s="20" t="s">
        <v>83</v>
      </c>
    </row>
    <row r="935" ht="15.75" customHeight="1">
      <c r="A935" s="14" t="s">
        <v>77</v>
      </c>
      <c r="B935" s="16" t="s">
        <v>51</v>
      </c>
      <c r="C935" s="16" t="s">
        <v>97</v>
      </c>
      <c r="D935" s="17" t="s">
        <v>1254</v>
      </c>
      <c r="E935" s="15">
        <v>55.0</v>
      </c>
      <c r="F935" s="20" t="s">
        <v>83</v>
      </c>
    </row>
    <row r="936" ht="15.75" customHeight="1">
      <c r="A936" s="14" t="s">
        <v>77</v>
      </c>
      <c r="B936" s="16" t="s">
        <v>51</v>
      </c>
      <c r="C936" s="16" t="s">
        <v>97</v>
      </c>
      <c r="D936" s="17" t="s">
        <v>1262</v>
      </c>
      <c r="E936" s="15">
        <v>101.0</v>
      </c>
      <c r="F936" s="20" t="s">
        <v>83</v>
      </c>
    </row>
    <row r="937" ht="15.75" customHeight="1">
      <c r="A937" s="14" t="s">
        <v>77</v>
      </c>
      <c r="B937" s="16" t="s">
        <v>51</v>
      </c>
      <c r="C937" s="16" t="s">
        <v>97</v>
      </c>
      <c r="D937" s="17" t="s">
        <v>1750</v>
      </c>
      <c r="E937" s="15">
        <v>62.0</v>
      </c>
      <c r="F937" s="20" t="s">
        <v>83</v>
      </c>
    </row>
    <row r="938" ht="15.75" customHeight="1">
      <c r="A938" s="14" t="s">
        <v>77</v>
      </c>
      <c r="B938" s="16" t="s">
        <v>51</v>
      </c>
      <c r="C938" s="16" t="s">
        <v>97</v>
      </c>
      <c r="D938" s="17" t="s">
        <v>1906</v>
      </c>
      <c r="E938" s="15">
        <v>62.0</v>
      </c>
      <c r="F938" s="20" t="s">
        <v>83</v>
      </c>
    </row>
    <row r="939" ht="15.75" customHeight="1">
      <c r="A939" s="14" t="s">
        <v>77</v>
      </c>
      <c r="B939" s="16" t="s">
        <v>51</v>
      </c>
      <c r="C939" s="16" t="s">
        <v>97</v>
      </c>
      <c r="D939" s="17" t="s">
        <v>1265</v>
      </c>
      <c r="E939" s="15">
        <v>44.0</v>
      </c>
      <c r="F939" s="20" t="s">
        <v>83</v>
      </c>
    </row>
    <row r="940" ht="15.75" customHeight="1">
      <c r="A940" s="14" t="s">
        <v>77</v>
      </c>
      <c r="B940" s="16" t="s">
        <v>51</v>
      </c>
      <c r="C940" s="16" t="s">
        <v>97</v>
      </c>
      <c r="D940" s="17" t="s">
        <v>1269</v>
      </c>
      <c r="E940" s="15">
        <v>62.0</v>
      </c>
      <c r="F940" s="20" t="s">
        <v>83</v>
      </c>
    </row>
    <row r="941" ht="15.75" customHeight="1">
      <c r="A941" s="14" t="s">
        <v>77</v>
      </c>
      <c r="B941" s="16" t="s">
        <v>51</v>
      </c>
      <c r="C941" s="16" t="s">
        <v>97</v>
      </c>
      <c r="D941" s="17" t="s">
        <v>1751</v>
      </c>
      <c r="E941" s="15">
        <v>47.0</v>
      </c>
      <c r="F941" s="20" t="s">
        <v>83</v>
      </c>
    </row>
    <row r="942" ht="15.75" customHeight="1">
      <c r="A942" s="14" t="s">
        <v>77</v>
      </c>
      <c r="B942" s="16" t="s">
        <v>51</v>
      </c>
      <c r="C942" s="16" t="s">
        <v>97</v>
      </c>
      <c r="D942" s="17" t="s">
        <v>1915</v>
      </c>
      <c r="E942" s="15">
        <v>47.0</v>
      </c>
      <c r="F942" s="20" t="s">
        <v>83</v>
      </c>
    </row>
    <row r="943" ht="15.75" customHeight="1">
      <c r="A943" s="14" t="s">
        <v>77</v>
      </c>
      <c r="B943" s="16" t="s">
        <v>51</v>
      </c>
      <c r="C943" s="16" t="s">
        <v>97</v>
      </c>
      <c r="D943" s="17" t="s">
        <v>1274</v>
      </c>
      <c r="E943" s="15">
        <v>35.0</v>
      </c>
      <c r="F943" s="20" t="s">
        <v>83</v>
      </c>
    </row>
    <row r="944" ht="15.75" customHeight="1">
      <c r="A944" s="14" t="s">
        <v>77</v>
      </c>
      <c r="B944" s="16" t="s">
        <v>51</v>
      </c>
      <c r="C944" s="16" t="s">
        <v>97</v>
      </c>
      <c r="D944" s="17" t="s">
        <v>1279</v>
      </c>
      <c r="E944" s="15">
        <v>47.0</v>
      </c>
      <c r="F944" s="20" t="s">
        <v>83</v>
      </c>
    </row>
    <row r="945" ht="15.75" customHeight="1">
      <c r="A945" s="14" t="s">
        <v>77</v>
      </c>
      <c r="B945" s="16" t="s">
        <v>51</v>
      </c>
      <c r="C945" s="16" t="s">
        <v>97</v>
      </c>
      <c r="D945" s="17" t="s">
        <v>1755</v>
      </c>
      <c r="E945" s="15">
        <v>4.0</v>
      </c>
      <c r="F945" s="20" t="s">
        <v>83</v>
      </c>
    </row>
    <row r="946" ht="15.75" customHeight="1">
      <c r="A946" s="14" t="s">
        <v>77</v>
      </c>
      <c r="B946" s="16" t="s">
        <v>51</v>
      </c>
      <c r="C946" s="16" t="s">
        <v>97</v>
      </c>
      <c r="D946" s="17" t="s">
        <v>1923</v>
      </c>
      <c r="E946" s="15">
        <v>4.0</v>
      </c>
      <c r="F946" s="20" t="s">
        <v>83</v>
      </c>
    </row>
    <row r="947" ht="15.75" customHeight="1">
      <c r="A947" s="14" t="s">
        <v>77</v>
      </c>
      <c r="B947" s="16" t="s">
        <v>51</v>
      </c>
      <c r="C947" s="16" t="s">
        <v>97</v>
      </c>
      <c r="D947" s="17" t="s">
        <v>1920</v>
      </c>
      <c r="E947" s="15">
        <v>4.0</v>
      </c>
      <c r="F947" s="20" t="s">
        <v>83</v>
      </c>
    </row>
    <row r="948" ht="15.75" customHeight="1">
      <c r="A948" s="14" t="s">
        <v>77</v>
      </c>
      <c r="B948" s="16" t="s">
        <v>51</v>
      </c>
      <c r="C948" s="16" t="s">
        <v>97</v>
      </c>
      <c r="D948" s="17" t="s">
        <v>1925</v>
      </c>
      <c r="E948" s="15">
        <v>2.0</v>
      </c>
      <c r="F948" s="20" t="s">
        <v>83</v>
      </c>
    </row>
    <row r="949" ht="15.75" customHeight="1">
      <c r="A949" s="14" t="s">
        <v>77</v>
      </c>
      <c r="B949" s="16" t="s">
        <v>51</v>
      </c>
      <c r="C949" s="16" t="s">
        <v>97</v>
      </c>
      <c r="D949" s="17" t="s">
        <v>1932</v>
      </c>
      <c r="E949" s="15">
        <v>2.0</v>
      </c>
      <c r="F949" s="20" t="s">
        <v>83</v>
      </c>
    </row>
    <row r="950" ht="15.75" customHeight="1">
      <c r="A950" s="14" t="s">
        <v>77</v>
      </c>
      <c r="B950" s="16" t="s">
        <v>51</v>
      </c>
      <c r="C950" s="16" t="s">
        <v>97</v>
      </c>
      <c r="D950" s="17" t="s">
        <v>1930</v>
      </c>
      <c r="E950" s="15">
        <v>2.0</v>
      </c>
      <c r="F950" s="20" t="s">
        <v>83</v>
      </c>
    </row>
    <row r="951" ht="15.75" customHeight="1">
      <c r="A951" s="14" t="s">
        <v>77</v>
      </c>
      <c r="B951" s="16" t="s">
        <v>51</v>
      </c>
      <c r="C951" s="16" t="s">
        <v>97</v>
      </c>
      <c r="D951" s="17" t="s">
        <v>1933</v>
      </c>
      <c r="E951" s="15">
        <v>1.0</v>
      </c>
      <c r="F951" s="20" t="s">
        <v>83</v>
      </c>
    </row>
    <row r="952" ht="15.75" customHeight="1">
      <c r="A952" s="14" t="s">
        <v>77</v>
      </c>
      <c r="B952" s="16" t="s">
        <v>51</v>
      </c>
      <c r="C952" s="16" t="s">
        <v>97</v>
      </c>
      <c r="D952" s="17" t="s">
        <v>1937</v>
      </c>
      <c r="E952" s="15">
        <v>1.0</v>
      </c>
      <c r="F952" s="20" t="s">
        <v>83</v>
      </c>
    </row>
    <row r="953" ht="15.75" customHeight="1">
      <c r="A953" s="14" t="s">
        <v>77</v>
      </c>
      <c r="B953" s="16" t="s">
        <v>51</v>
      </c>
      <c r="C953" s="16" t="s">
        <v>97</v>
      </c>
      <c r="D953" s="17" t="s">
        <v>1936</v>
      </c>
      <c r="E953" s="15">
        <v>1.0</v>
      </c>
      <c r="F953" s="20" t="s">
        <v>83</v>
      </c>
    </row>
    <row r="954" ht="15.75" customHeight="1">
      <c r="A954" s="14" t="s">
        <v>77</v>
      </c>
      <c r="B954" s="16" t="s">
        <v>51</v>
      </c>
      <c r="C954" s="16" t="s">
        <v>97</v>
      </c>
      <c r="D954" s="17" t="s">
        <v>1887</v>
      </c>
      <c r="E954" s="15">
        <v>9.0</v>
      </c>
      <c r="F954" s="20" t="s">
        <v>83</v>
      </c>
    </row>
    <row r="955" ht="15.75" customHeight="1">
      <c r="A955" s="14" t="s">
        <v>77</v>
      </c>
      <c r="B955" s="16" t="s">
        <v>51</v>
      </c>
      <c r="C955" s="16" t="s">
        <v>97</v>
      </c>
      <c r="D955" s="17" t="s">
        <v>1494</v>
      </c>
      <c r="E955" s="15">
        <v>8.0</v>
      </c>
      <c r="F955" s="20" t="s">
        <v>83</v>
      </c>
    </row>
    <row r="956" ht="15.75" customHeight="1">
      <c r="A956" s="14" t="s">
        <v>77</v>
      </c>
      <c r="B956" s="16" t="s">
        <v>51</v>
      </c>
      <c r="C956" s="16" t="s">
        <v>97</v>
      </c>
      <c r="D956" s="17" t="s">
        <v>2013</v>
      </c>
      <c r="E956" s="15">
        <v>64.0</v>
      </c>
      <c r="F956" s="20" t="s">
        <v>83</v>
      </c>
    </row>
    <row r="957" ht="15.75" customHeight="1">
      <c r="A957" s="14" t="s">
        <v>77</v>
      </c>
      <c r="B957" s="16" t="s">
        <v>51</v>
      </c>
      <c r="C957" s="16" t="s">
        <v>97</v>
      </c>
      <c r="D957" s="17" t="s">
        <v>2017</v>
      </c>
      <c r="E957" s="15">
        <v>13.0</v>
      </c>
      <c r="F957" s="20" t="s">
        <v>83</v>
      </c>
    </row>
    <row r="958" ht="15.75" customHeight="1">
      <c r="A958" s="14" t="s">
        <v>77</v>
      </c>
      <c r="B958" s="16" t="s">
        <v>51</v>
      </c>
      <c r="C958" s="16" t="s">
        <v>97</v>
      </c>
      <c r="D958" s="17" t="s">
        <v>2021</v>
      </c>
      <c r="E958" s="15">
        <v>8.0</v>
      </c>
      <c r="F958" s="20" t="s">
        <v>83</v>
      </c>
    </row>
    <row r="959" ht="15.75" customHeight="1">
      <c r="A959" s="14" t="s">
        <v>77</v>
      </c>
      <c r="B959" s="16" t="s">
        <v>51</v>
      </c>
      <c r="C959" s="16" t="s">
        <v>97</v>
      </c>
      <c r="D959" s="17" t="s">
        <v>920</v>
      </c>
      <c r="E959" s="15">
        <v>98.0</v>
      </c>
      <c r="F959" s="20" t="s">
        <v>83</v>
      </c>
    </row>
    <row r="960" ht="15.75" customHeight="1">
      <c r="A960" s="14" t="s">
        <v>77</v>
      </c>
      <c r="B960" s="16" t="s">
        <v>51</v>
      </c>
      <c r="C960" s="16" t="s">
        <v>97</v>
      </c>
      <c r="D960" s="17" t="s">
        <v>1975</v>
      </c>
      <c r="E960" s="15">
        <v>98.0</v>
      </c>
      <c r="F960" s="20" t="s">
        <v>83</v>
      </c>
    </row>
    <row r="961" ht="15.75" customHeight="1">
      <c r="A961" s="14" t="s">
        <v>77</v>
      </c>
      <c r="B961" s="16" t="s">
        <v>51</v>
      </c>
      <c r="C961" s="16" t="s">
        <v>97</v>
      </c>
      <c r="D961" s="17" t="s">
        <v>1978</v>
      </c>
      <c r="E961" s="15">
        <v>63.0</v>
      </c>
      <c r="F961" s="20" t="s">
        <v>83</v>
      </c>
    </row>
    <row r="962" ht="15.75" customHeight="1">
      <c r="A962" s="14" t="s">
        <v>77</v>
      </c>
      <c r="B962" s="16" t="s">
        <v>51</v>
      </c>
      <c r="C962" s="16" t="s">
        <v>97</v>
      </c>
      <c r="D962" s="17" t="s">
        <v>1899</v>
      </c>
      <c r="E962" s="15">
        <v>98.0</v>
      </c>
      <c r="F962" s="20" t="s">
        <v>83</v>
      </c>
    </row>
    <row r="963" ht="15.75" customHeight="1">
      <c r="A963" s="14" t="s">
        <v>77</v>
      </c>
      <c r="B963" s="16" t="s">
        <v>51</v>
      </c>
      <c r="C963" s="16" t="s">
        <v>97</v>
      </c>
      <c r="D963" s="17" t="s">
        <v>1758</v>
      </c>
      <c r="E963" s="15">
        <v>28.0</v>
      </c>
      <c r="F963" s="20" t="s">
        <v>83</v>
      </c>
    </row>
    <row r="964" ht="15.75" customHeight="1">
      <c r="A964" s="14" t="s">
        <v>77</v>
      </c>
      <c r="B964" s="16" t="s">
        <v>51</v>
      </c>
      <c r="C964" s="16" t="s">
        <v>97</v>
      </c>
      <c r="D964" s="17" t="s">
        <v>1986</v>
      </c>
      <c r="E964" s="15">
        <v>28.0</v>
      </c>
      <c r="F964" s="20" t="s">
        <v>83</v>
      </c>
    </row>
    <row r="965" ht="15.75" customHeight="1">
      <c r="A965" s="14" t="s">
        <v>77</v>
      </c>
      <c r="B965" s="16" t="s">
        <v>51</v>
      </c>
      <c r="C965" s="16" t="s">
        <v>97</v>
      </c>
      <c r="D965" s="17" t="s">
        <v>1988</v>
      </c>
      <c r="E965" s="15">
        <v>6.0</v>
      </c>
      <c r="F965" s="20" t="s">
        <v>83</v>
      </c>
    </row>
    <row r="966" ht="15.75" customHeight="1">
      <c r="A966" s="14" t="s">
        <v>77</v>
      </c>
      <c r="B966" s="16" t="s">
        <v>51</v>
      </c>
      <c r="C966" s="16" t="s">
        <v>97</v>
      </c>
      <c r="D966" s="17" t="s">
        <v>1900</v>
      </c>
      <c r="E966" s="15">
        <v>28.0</v>
      </c>
      <c r="F966" s="20" t="s">
        <v>83</v>
      </c>
    </row>
    <row r="967" ht="15.75" customHeight="1">
      <c r="A967" s="14" t="s">
        <v>77</v>
      </c>
      <c r="B967" s="16" t="s">
        <v>51</v>
      </c>
      <c r="C967" s="16" t="s">
        <v>97</v>
      </c>
      <c r="D967" s="17" t="s">
        <v>1991</v>
      </c>
      <c r="E967" s="15">
        <v>16.0</v>
      </c>
      <c r="F967" s="20" t="s">
        <v>83</v>
      </c>
    </row>
    <row r="968" ht="15.75" customHeight="1">
      <c r="A968" s="14" t="s">
        <v>77</v>
      </c>
      <c r="B968" s="16" t="s">
        <v>51</v>
      </c>
      <c r="C968" s="16" t="s">
        <v>97</v>
      </c>
      <c r="D968" s="17" t="s">
        <v>1997</v>
      </c>
      <c r="E968" s="15">
        <v>16.0</v>
      </c>
      <c r="F968" s="20" t="s">
        <v>83</v>
      </c>
    </row>
    <row r="969" ht="15.75" customHeight="1">
      <c r="A969" s="14" t="s">
        <v>77</v>
      </c>
      <c r="B969" s="16" t="s">
        <v>51</v>
      </c>
      <c r="C969" s="16" t="s">
        <v>97</v>
      </c>
      <c r="D969" s="17" t="s">
        <v>2000</v>
      </c>
      <c r="E969" s="15">
        <v>4.0</v>
      </c>
      <c r="F969" s="20" t="s">
        <v>83</v>
      </c>
    </row>
    <row r="970" ht="15.75" customHeight="1">
      <c r="A970" s="14" t="s">
        <v>77</v>
      </c>
      <c r="B970" s="16" t="s">
        <v>51</v>
      </c>
      <c r="C970" s="16" t="s">
        <v>97</v>
      </c>
      <c r="D970" s="17" t="s">
        <v>1902</v>
      </c>
      <c r="E970" s="15">
        <v>16.0</v>
      </c>
      <c r="F970" s="20" t="s">
        <v>83</v>
      </c>
    </row>
    <row r="971" ht="15.75" customHeight="1">
      <c r="A971" s="14" t="s">
        <v>77</v>
      </c>
      <c r="B971" s="16" t="s">
        <v>51</v>
      </c>
      <c r="C971" s="16" t="s">
        <v>97</v>
      </c>
      <c r="D971" s="17" t="s">
        <v>1761</v>
      </c>
      <c r="E971" s="15">
        <v>9.0</v>
      </c>
      <c r="F971" s="20" t="s">
        <v>83</v>
      </c>
    </row>
    <row r="972" ht="15.75" customHeight="1">
      <c r="A972" s="14" t="s">
        <v>77</v>
      </c>
      <c r="B972" s="16" t="s">
        <v>51</v>
      </c>
      <c r="C972" s="16" t="s">
        <v>97</v>
      </c>
      <c r="D972" s="17" t="s">
        <v>2006</v>
      </c>
      <c r="E972" s="15">
        <v>9.0</v>
      </c>
      <c r="F972" s="20" t="s">
        <v>83</v>
      </c>
    </row>
    <row r="973" ht="15.75" customHeight="1">
      <c r="A973" s="14" t="s">
        <v>77</v>
      </c>
      <c r="B973" s="16" t="s">
        <v>51</v>
      </c>
      <c r="C973" s="16" t="s">
        <v>97</v>
      </c>
      <c r="D973" s="17" t="s">
        <v>2008</v>
      </c>
      <c r="E973" s="15">
        <v>3.0</v>
      </c>
      <c r="F973" s="20" t="s">
        <v>83</v>
      </c>
    </row>
    <row r="974" ht="15.75" customHeight="1">
      <c r="A974" s="14" t="s">
        <v>77</v>
      </c>
      <c r="B974" s="16" t="s">
        <v>51</v>
      </c>
      <c r="C974" s="16" t="s">
        <v>97</v>
      </c>
      <c r="D974" s="17" t="s">
        <v>1904</v>
      </c>
      <c r="E974" s="15">
        <v>9.0</v>
      </c>
      <c r="F974" s="20" t="s">
        <v>83</v>
      </c>
    </row>
    <row r="975" ht="15.75" customHeight="1">
      <c r="A975" s="14" t="s">
        <v>77</v>
      </c>
      <c r="B975" s="16" t="s">
        <v>51</v>
      </c>
      <c r="C975" s="16" t="s">
        <v>97</v>
      </c>
      <c r="D975" s="17" t="s">
        <v>1961</v>
      </c>
      <c r="E975" s="15">
        <v>4.0</v>
      </c>
      <c r="F975" s="20" t="s">
        <v>83</v>
      </c>
    </row>
    <row r="976" ht="15.75" customHeight="1">
      <c r="A976" s="14" t="s">
        <v>77</v>
      </c>
      <c r="B976" s="16" t="s">
        <v>51</v>
      </c>
      <c r="C976" s="16" t="s">
        <v>97</v>
      </c>
      <c r="D976" s="17" t="s">
        <v>2032</v>
      </c>
      <c r="E976" s="15">
        <v>3.0</v>
      </c>
      <c r="F976" s="20" t="s">
        <v>83</v>
      </c>
    </row>
    <row r="977" ht="15.75" customHeight="1">
      <c r="A977" s="14" t="s">
        <v>77</v>
      </c>
      <c r="B977" s="16" t="s">
        <v>51</v>
      </c>
      <c r="C977" s="16" t="s">
        <v>97</v>
      </c>
      <c r="D977" s="17" t="s">
        <v>672</v>
      </c>
      <c r="E977" s="15">
        <v>55.0</v>
      </c>
      <c r="F977" s="20" t="s">
        <v>83</v>
      </c>
    </row>
    <row r="978" ht="15.75" customHeight="1">
      <c r="A978" s="14" t="s">
        <v>77</v>
      </c>
      <c r="B978" s="16" t="s">
        <v>51</v>
      </c>
      <c r="C978" s="16" t="s">
        <v>97</v>
      </c>
      <c r="D978" s="17" t="s">
        <v>676</v>
      </c>
      <c r="E978" s="15">
        <v>8.0</v>
      </c>
      <c r="F978" s="20" t="s">
        <v>83</v>
      </c>
    </row>
    <row r="979" ht="15.75" customHeight="1">
      <c r="A979" s="14" t="s">
        <v>77</v>
      </c>
      <c r="B979" s="16" t="s">
        <v>51</v>
      </c>
      <c r="C979" s="16" t="s">
        <v>97</v>
      </c>
      <c r="D979" s="17" t="s">
        <v>2148</v>
      </c>
      <c r="E979" s="15">
        <v>4.0</v>
      </c>
      <c r="F979" s="20" t="s">
        <v>83</v>
      </c>
    </row>
    <row r="980" ht="15.75" customHeight="1">
      <c r="A980" s="14" t="s">
        <v>77</v>
      </c>
      <c r="B980" s="16" t="s">
        <v>51</v>
      </c>
      <c r="C980" s="16" t="s">
        <v>97</v>
      </c>
      <c r="D980" s="17" t="s">
        <v>2128</v>
      </c>
      <c r="E980" s="15">
        <v>1.0</v>
      </c>
      <c r="F980" s="20" t="s">
        <v>83</v>
      </c>
    </row>
    <row r="981" ht="15.75" customHeight="1">
      <c r="A981" s="14" t="s">
        <v>77</v>
      </c>
      <c r="B981" s="16" t="s">
        <v>51</v>
      </c>
      <c r="C981" s="16" t="s">
        <v>97</v>
      </c>
      <c r="D981" s="17" t="s">
        <v>2135</v>
      </c>
      <c r="E981" s="15">
        <v>1.0</v>
      </c>
      <c r="F981" s="20" t="s">
        <v>83</v>
      </c>
    </row>
    <row r="982" ht="15.75" customHeight="1">
      <c r="A982" s="14" t="s">
        <v>77</v>
      </c>
      <c r="B982" s="16" t="s">
        <v>51</v>
      </c>
      <c r="C982" s="16" t="s">
        <v>97</v>
      </c>
      <c r="D982" s="17" t="s">
        <v>2132</v>
      </c>
      <c r="E982" s="15">
        <v>1.0</v>
      </c>
      <c r="F982" s="20" t="s">
        <v>83</v>
      </c>
    </row>
    <row r="983" ht="15.75" customHeight="1">
      <c r="A983" s="14" t="s">
        <v>77</v>
      </c>
      <c r="B983" s="16" t="s">
        <v>51</v>
      </c>
      <c r="C983" s="16" t="s">
        <v>97</v>
      </c>
      <c r="D983" s="17" t="s">
        <v>1764</v>
      </c>
      <c r="E983" s="15">
        <v>82.0</v>
      </c>
      <c r="F983" s="20" t="s">
        <v>83</v>
      </c>
    </row>
    <row r="984" ht="15.75" customHeight="1">
      <c r="A984" s="14" t="s">
        <v>77</v>
      </c>
      <c r="B984" s="16" t="s">
        <v>51</v>
      </c>
      <c r="C984" s="16" t="s">
        <v>97</v>
      </c>
      <c r="D984" s="17" t="s">
        <v>2058</v>
      </c>
      <c r="E984" s="15">
        <v>82.0</v>
      </c>
      <c r="F984" s="20" t="s">
        <v>83</v>
      </c>
    </row>
    <row r="985" ht="15.75" customHeight="1">
      <c r="A985" s="14" t="s">
        <v>77</v>
      </c>
      <c r="B985" s="16" t="s">
        <v>51</v>
      </c>
      <c r="C985" s="16" t="s">
        <v>97</v>
      </c>
      <c r="D985" s="17" t="s">
        <v>2060</v>
      </c>
      <c r="E985" s="15">
        <v>58.0</v>
      </c>
      <c r="F985" s="20" t="s">
        <v>83</v>
      </c>
    </row>
    <row r="986" ht="15.75" customHeight="1">
      <c r="A986" s="14" t="s">
        <v>77</v>
      </c>
      <c r="B986" s="16" t="s">
        <v>51</v>
      </c>
      <c r="C986" s="16" t="s">
        <v>97</v>
      </c>
      <c r="D986" s="17" t="s">
        <v>1907</v>
      </c>
      <c r="E986" s="15">
        <v>82.0</v>
      </c>
      <c r="F986" s="20" t="s">
        <v>83</v>
      </c>
    </row>
    <row r="987" ht="15.75" customHeight="1">
      <c r="A987" s="14" t="s">
        <v>77</v>
      </c>
      <c r="B987" s="16" t="s">
        <v>51</v>
      </c>
      <c r="C987" s="16" t="s">
        <v>97</v>
      </c>
      <c r="D987" s="17" t="s">
        <v>1765</v>
      </c>
      <c r="E987" s="15">
        <v>20.0</v>
      </c>
      <c r="F987" s="20" t="s">
        <v>83</v>
      </c>
    </row>
    <row r="988" ht="15.75" customHeight="1">
      <c r="A988" s="14" t="s">
        <v>77</v>
      </c>
      <c r="B988" s="16" t="s">
        <v>51</v>
      </c>
      <c r="C988" s="16" t="s">
        <v>97</v>
      </c>
      <c r="D988" s="17" t="s">
        <v>2065</v>
      </c>
      <c r="E988" s="15">
        <v>20.0</v>
      </c>
      <c r="F988" s="20" t="s">
        <v>83</v>
      </c>
    </row>
    <row r="989" ht="15.75" customHeight="1">
      <c r="A989" s="14" t="s">
        <v>77</v>
      </c>
      <c r="B989" s="16" t="s">
        <v>51</v>
      </c>
      <c r="C989" s="16" t="s">
        <v>97</v>
      </c>
      <c r="D989" s="17" t="s">
        <v>2067</v>
      </c>
      <c r="E989" s="15">
        <v>4.0</v>
      </c>
      <c r="F989" s="20" t="s">
        <v>83</v>
      </c>
    </row>
    <row r="990" ht="15.75" customHeight="1">
      <c r="A990" s="14" t="s">
        <v>77</v>
      </c>
      <c r="B990" s="16" t="s">
        <v>51</v>
      </c>
      <c r="C990" s="16" t="s">
        <v>97</v>
      </c>
      <c r="D990" s="17" t="s">
        <v>1909</v>
      </c>
      <c r="E990" s="15">
        <v>20.0</v>
      </c>
      <c r="F990" s="20" t="s">
        <v>83</v>
      </c>
    </row>
    <row r="991" ht="15.75" customHeight="1">
      <c r="A991" s="14" t="s">
        <v>77</v>
      </c>
      <c r="B991" s="16" t="s">
        <v>51</v>
      </c>
      <c r="C991" s="16" t="s">
        <v>97</v>
      </c>
      <c r="D991" s="17" t="s">
        <v>1768</v>
      </c>
      <c r="E991" s="15">
        <v>13.0</v>
      </c>
      <c r="F991" s="20" t="s">
        <v>83</v>
      </c>
    </row>
    <row r="992" ht="15.75" customHeight="1">
      <c r="A992" s="14" t="s">
        <v>77</v>
      </c>
      <c r="B992" s="16" t="s">
        <v>51</v>
      </c>
      <c r="C992" s="16" t="s">
        <v>97</v>
      </c>
      <c r="D992" s="17" t="s">
        <v>2077</v>
      </c>
      <c r="E992" s="15">
        <v>13.0</v>
      </c>
      <c r="F992" s="20" t="s">
        <v>83</v>
      </c>
    </row>
    <row r="993" ht="15.75" customHeight="1">
      <c r="A993" s="14" t="s">
        <v>77</v>
      </c>
      <c r="B993" s="16" t="s">
        <v>51</v>
      </c>
      <c r="C993" s="16" t="s">
        <v>97</v>
      </c>
      <c r="D993" s="17" t="s">
        <v>2080</v>
      </c>
      <c r="E993" s="15">
        <v>3.0</v>
      </c>
      <c r="F993" s="20" t="s">
        <v>83</v>
      </c>
    </row>
    <row r="994" ht="15.75" customHeight="1">
      <c r="A994" s="14" t="s">
        <v>77</v>
      </c>
      <c r="B994" s="16" t="s">
        <v>51</v>
      </c>
      <c r="C994" s="16" t="s">
        <v>97</v>
      </c>
      <c r="D994" s="17" t="s">
        <v>2073</v>
      </c>
      <c r="E994" s="15">
        <v>13.0</v>
      </c>
      <c r="F994" s="20" t="s">
        <v>83</v>
      </c>
    </row>
    <row r="995" ht="15.75" customHeight="1">
      <c r="A995" s="14" t="s">
        <v>77</v>
      </c>
      <c r="B995" s="16" t="s">
        <v>51</v>
      </c>
      <c r="C995" s="16" t="s">
        <v>97</v>
      </c>
      <c r="D995" s="17" t="s">
        <v>1769</v>
      </c>
      <c r="E995" s="15">
        <v>10.0</v>
      </c>
      <c r="F995" s="20" t="s">
        <v>83</v>
      </c>
    </row>
    <row r="996" ht="15.75" customHeight="1">
      <c r="A996" s="14" t="s">
        <v>77</v>
      </c>
      <c r="B996" s="16" t="s">
        <v>51</v>
      </c>
      <c r="C996" s="16" t="s">
        <v>97</v>
      </c>
      <c r="D996" s="17" t="s">
        <v>2088</v>
      </c>
      <c r="E996" s="15">
        <v>10.0</v>
      </c>
      <c r="F996" s="20" t="s">
        <v>83</v>
      </c>
    </row>
    <row r="997" ht="15.75" customHeight="1">
      <c r="A997" s="14" t="s">
        <v>77</v>
      </c>
      <c r="B997" s="16" t="s">
        <v>51</v>
      </c>
      <c r="C997" s="16" t="s">
        <v>97</v>
      </c>
      <c r="D997" s="17" t="s">
        <v>2091</v>
      </c>
      <c r="E997" s="15">
        <v>2.0</v>
      </c>
      <c r="F997" s="20" t="s">
        <v>83</v>
      </c>
    </row>
    <row r="998" ht="15.75" customHeight="1">
      <c r="A998" s="14" t="s">
        <v>77</v>
      </c>
      <c r="B998" s="16" t="s">
        <v>51</v>
      </c>
      <c r="C998" s="16" t="s">
        <v>97</v>
      </c>
      <c r="D998" s="17" t="s">
        <v>2086</v>
      </c>
      <c r="E998" s="15">
        <v>10.0</v>
      </c>
      <c r="F998" s="20" t="s">
        <v>83</v>
      </c>
    </row>
    <row r="999" ht="15.75" customHeight="1">
      <c r="A999" s="14" t="s">
        <v>77</v>
      </c>
      <c r="B999" s="16" t="s">
        <v>51</v>
      </c>
      <c r="C999" s="16" t="s">
        <v>97</v>
      </c>
      <c r="D999" s="17" t="s">
        <v>1772</v>
      </c>
      <c r="E999" s="15">
        <v>5.0</v>
      </c>
      <c r="F999" s="20" t="s">
        <v>83</v>
      </c>
    </row>
    <row r="1000" ht="15.75" customHeight="1">
      <c r="A1000" s="14" t="s">
        <v>77</v>
      </c>
      <c r="B1000" s="16" t="s">
        <v>51</v>
      </c>
      <c r="C1000" s="16" t="s">
        <v>97</v>
      </c>
      <c r="D1000" s="17" t="s">
        <v>2101</v>
      </c>
      <c r="E1000" s="15">
        <v>5.0</v>
      </c>
      <c r="F1000" s="20" t="s">
        <v>83</v>
      </c>
    </row>
    <row r="1001" ht="15.75" customHeight="1">
      <c r="A1001" s="14" t="s">
        <v>77</v>
      </c>
      <c r="B1001" s="16" t="s">
        <v>51</v>
      </c>
      <c r="C1001" s="16" t="s">
        <v>97</v>
      </c>
      <c r="D1001" s="17" t="s">
        <v>2098</v>
      </c>
      <c r="E1001" s="15">
        <v>5.0</v>
      </c>
      <c r="F1001" s="20" t="s">
        <v>83</v>
      </c>
    </row>
    <row r="1002" ht="15.75" customHeight="1">
      <c r="A1002" s="14" t="s">
        <v>77</v>
      </c>
      <c r="B1002" s="16" t="s">
        <v>51</v>
      </c>
      <c r="C1002" s="16" t="s">
        <v>97</v>
      </c>
      <c r="D1002" s="17" t="s">
        <v>1775</v>
      </c>
      <c r="E1002" s="15">
        <v>3.0</v>
      </c>
      <c r="F1002" s="20" t="s">
        <v>83</v>
      </c>
    </row>
    <row r="1003" ht="15.75" customHeight="1">
      <c r="A1003" s="14" t="s">
        <v>77</v>
      </c>
      <c r="B1003" s="16" t="s">
        <v>51</v>
      </c>
      <c r="C1003" s="16" t="s">
        <v>97</v>
      </c>
      <c r="D1003" s="17" t="s">
        <v>2110</v>
      </c>
      <c r="E1003" s="15">
        <v>3.0</v>
      </c>
      <c r="F1003" s="20" t="s">
        <v>83</v>
      </c>
    </row>
    <row r="1004" ht="15.75" customHeight="1">
      <c r="A1004" s="14" t="s">
        <v>77</v>
      </c>
      <c r="B1004" s="16" t="s">
        <v>51</v>
      </c>
      <c r="C1004" s="16" t="s">
        <v>97</v>
      </c>
      <c r="D1004" s="17" t="s">
        <v>2107</v>
      </c>
      <c r="E1004" s="15">
        <v>3.0</v>
      </c>
      <c r="F1004" s="20" t="s">
        <v>83</v>
      </c>
    </row>
    <row r="1005" ht="15.75" customHeight="1">
      <c r="A1005" s="14" t="s">
        <v>77</v>
      </c>
      <c r="B1005" s="16" t="s">
        <v>51</v>
      </c>
      <c r="C1005" s="16" t="s">
        <v>97</v>
      </c>
      <c r="D1005" s="17" t="s">
        <v>2113</v>
      </c>
      <c r="E1005" s="15">
        <v>1.0</v>
      </c>
      <c r="F1005" s="20" t="s">
        <v>83</v>
      </c>
    </row>
    <row r="1006" ht="15.75" customHeight="1">
      <c r="A1006" s="14" t="s">
        <v>77</v>
      </c>
      <c r="B1006" s="16" t="s">
        <v>51</v>
      </c>
      <c r="C1006" s="16" t="s">
        <v>97</v>
      </c>
      <c r="D1006" s="17" t="s">
        <v>2118</v>
      </c>
      <c r="E1006" s="15">
        <v>1.0</v>
      </c>
      <c r="F1006" s="20" t="s">
        <v>83</v>
      </c>
    </row>
    <row r="1007" ht="15.75" customHeight="1">
      <c r="A1007" s="14" t="s">
        <v>77</v>
      </c>
      <c r="B1007" s="16" t="s">
        <v>51</v>
      </c>
      <c r="C1007" s="16" t="s">
        <v>97</v>
      </c>
      <c r="D1007" s="17" t="s">
        <v>2116</v>
      </c>
      <c r="E1007" s="15">
        <v>1.0</v>
      </c>
      <c r="F1007" s="20" t="s">
        <v>83</v>
      </c>
    </row>
    <row r="1008" ht="15.75" customHeight="1">
      <c r="A1008" s="14" t="s">
        <v>77</v>
      </c>
      <c r="B1008" s="16" t="s">
        <v>51</v>
      </c>
      <c r="C1008" s="16" t="s">
        <v>97</v>
      </c>
      <c r="D1008" s="17" t="s">
        <v>2120</v>
      </c>
      <c r="E1008" s="15">
        <v>1.0</v>
      </c>
      <c r="F1008" s="20" t="s">
        <v>83</v>
      </c>
    </row>
    <row r="1009" ht="15.75" customHeight="1">
      <c r="A1009" s="14" t="s">
        <v>77</v>
      </c>
      <c r="B1009" s="16" t="s">
        <v>51</v>
      </c>
      <c r="C1009" s="16" t="s">
        <v>97</v>
      </c>
      <c r="D1009" s="17" t="s">
        <v>2126</v>
      </c>
      <c r="E1009" s="15">
        <v>1.0</v>
      </c>
      <c r="F1009" s="20" t="s">
        <v>83</v>
      </c>
    </row>
    <row r="1010" ht="15.75" customHeight="1">
      <c r="A1010" s="14" t="s">
        <v>77</v>
      </c>
      <c r="B1010" s="16" t="s">
        <v>51</v>
      </c>
      <c r="C1010" s="16" t="s">
        <v>97</v>
      </c>
      <c r="D1010" s="17" t="s">
        <v>2124</v>
      </c>
      <c r="E1010" s="15">
        <v>1.0</v>
      </c>
      <c r="F1010" s="20" t="s">
        <v>83</v>
      </c>
    </row>
    <row r="1011" ht="15.75" customHeight="1">
      <c r="A1011" s="14" t="s">
        <v>77</v>
      </c>
      <c r="B1011" s="16" t="s">
        <v>51</v>
      </c>
      <c r="C1011" s="16" t="s">
        <v>97</v>
      </c>
      <c r="D1011" s="17" t="s">
        <v>2045</v>
      </c>
      <c r="E1011" s="15">
        <v>2.0</v>
      </c>
      <c r="F1011" s="20" t="s">
        <v>83</v>
      </c>
    </row>
    <row r="1012" ht="15.75" customHeight="1">
      <c r="A1012" s="14" t="s">
        <v>77</v>
      </c>
      <c r="B1012" s="16" t="s">
        <v>51</v>
      </c>
      <c r="C1012" s="16" t="s">
        <v>97</v>
      </c>
      <c r="D1012" s="17" t="s">
        <v>1365</v>
      </c>
      <c r="E1012" s="15">
        <v>5.0</v>
      </c>
      <c r="F1012" s="20" t="s">
        <v>83</v>
      </c>
    </row>
    <row r="1013" ht="15.75" customHeight="1">
      <c r="A1013" s="14" t="s">
        <v>77</v>
      </c>
      <c r="B1013" s="16" t="s">
        <v>51</v>
      </c>
      <c r="C1013" s="16" t="s">
        <v>97</v>
      </c>
      <c r="D1013" s="17" t="s">
        <v>2218</v>
      </c>
      <c r="E1013" s="15">
        <v>53.0</v>
      </c>
      <c r="F1013" s="20" t="s">
        <v>83</v>
      </c>
    </row>
    <row r="1014" ht="15.75" customHeight="1">
      <c r="A1014" s="14" t="s">
        <v>77</v>
      </c>
      <c r="B1014" s="16" t="s">
        <v>51</v>
      </c>
      <c r="C1014" s="16" t="s">
        <v>97</v>
      </c>
      <c r="D1014" s="17" t="s">
        <v>2223</v>
      </c>
      <c r="E1014" s="15">
        <v>6.0</v>
      </c>
      <c r="F1014" s="20" t="s">
        <v>83</v>
      </c>
    </row>
    <row r="1015" ht="15.75" customHeight="1">
      <c r="A1015" s="14" t="s">
        <v>77</v>
      </c>
      <c r="B1015" s="16" t="s">
        <v>51</v>
      </c>
      <c r="C1015" s="16" t="s">
        <v>97</v>
      </c>
      <c r="D1015" s="17" t="s">
        <v>2227</v>
      </c>
      <c r="E1015" s="15">
        <v>4.0</v>
      </c>
      <c r="F1015" s="20" t="s">
        <v>83</v>
      </c>
    </row>
    <row r="1016" ht="15.75" customHeight="1">
      <c r="A1016" s="14" t="s">
        <v>77</v>
      </c>
      <c r="B1016" s="16" t="s">
        <v>51</v>
      </c>
      <c r="C1016" s="16" t="s">
        <v>97</v>
      </c>
      <c r="D1016" s="17" t="s">
        <v>1782</v>
      </c>
      <c r="E1016" s="15">
        <v>76.0</v>
      </c>
      <c r="F1016" s="20" t="s">
        <v>83</v>
      </c>
    </row>
    <row r="1017" ht="15.75" customHeight="1">
      <c r="A1017" s="14" t="s">
        <v>77</v>
      </c>
      <c r="B1017" s="16" t="s">
        <v>51</v>
      </c>
      <c r="C1017" s="16" t="s">
        <v>97</v>
      </c>
      <c r="D1017" s="17" t="s">
        <v>2182</v>
      </c>
      <c r="E1017" s="15">
        <v>76.0</v>
      </c>
      <c r="F1017" s="20" t="s">
        <v>83</v>
      </c>
    </row>
    <row r="1018" ht="15.75" customHeight="1">
      <c r="A1018" s="14" t="s">
        <v>77</v>
      </c>
      <c r="B1018" s="16" t="s">
        <v>51</v>
      </c>
      <c r="C1018" s="16" t="s">
        <v>97</v>
      </c>
      <c r="D1018" s="17" t="s">
        <v>2185</v>
      </c>
      <c r="E1018" s="15">
        <v>54.0</v>
      </c>
      <c r="F1018" s="20" t="s">
        <v>83</v>
      </c>
    </row>
    <row r="1019" ht="15.75" customHeight="1">
      <c r="A1019" s="14" t="s">
        <v>77</v>
      </c>
      <c r="B1019" s="16" t="s">
        <v>51</v>
      </c>
      <c r="C1019" s="16" t="s">
        <v>97</v>
      </c>
      <c r="D1019" s="17" t="s">
        <v>1913</v>
      </c>
      <c r="E1019" s="15">
        <v>76.0</v>
      </c>
      <c r="F1019" s="20" t="s">
        <v>83</v>
      </c>
    </row>
    <row r="1020" ht="15.75" customHeight="1">
      <c r="A1020" s="14" t="s">
        <v>77</v>
      </c>
      <c r="B1020" s="16" t="s">
        <v>51</v>
      </c>
      <c r="C1020" s="16" t="s">
        <v>97</v>
      </c>
      <c r="D1020" s="17" t="s">
        <v>1785</v>
      </c>
      <c r="E1020" s="15">
        <v>9.0</v>
      </c>
      <c r="F1020" s="20" t="s">
        <v>83</v>
      </c>
    </row>
    <row r="1021" ht="15.75" customHeight="1">
      <c r="A1021" s="14" t="s">
        <v>77</v>
      </c>
      <c r="B1021" s="16" t="s">
        <v>51</v>
      </c>
      <c r="C1021" s="16" t="s">
        <v>97</v>
      </c>
      <c r="D1021" s="17" t="s">
        <v>2194</v>
      </c>
      <c r="E1021" s="15">
        <v>9.0</v>
      </c>
      <c r="F1021" s="20" t="s">
        <v>83</v>
      </c>
    </row>
    <row r="1022" ht="15.75" customHeight="1">
      <c r="A1022" s="14" t="s">
        <v>77</v>
      </c>
      <c r="B1022" s="16" t="s">
        <v>51</v>
      </c>
      <c r="C1022" s="16" t="s">
        <v>97</v>
      </c>
      <c r="D1022" s="17" t="s">
        <v>2196</v>
      </c>
      <c r="E1022" s="15">
        <v>1.0</v>
      </c>
      <c r="F1022" s="20" t="s">
        <v>83</v>
      </c>
    </row>
    <row r="1023" ht="15.75" customHeight="1">
      <c r="A1023" s="14" t="s">
        <v>77</v>
      </c>
      <c r="B1023" s="16" t="s">
        <v>51</v>
      </c>
      <c r="C1023" s="16" t="s">
        <v>97</v>
      </c>
      <c r="D1023" s="17" t="s">
        <v>1914</v>
      </c>
      <c r="E1023" s="15">
        <v>9.0</v>
      </c>
      <c r="F1023" s="20" t="s">
        <v>83</v>
      </c>
    </row>
    <row r="1024" ht="15.75" customHeight="1">
      <c r="A1024" s="14" t="s">
        <v>77</v>
      </c>
      <c r="B1024" s="16" t="s">
        <v>51</v>
      </c>
      <c r="C1024" s="16" t="s">
        <v>97</v>
      </c>
      <c r="D1024" s="17" t="s">
        <v>2197</v>
      </c>
      <c r="E1024" s="15">
        <v>5.0</v>
      </c>
      <c r="F1024" s="20" t="s">
        <v>83</v>
      </c>
    </row>
    <row r="1025" ht="15.75" customHeight="1">
      <c r="A1025" s="14" t="s">
        <v>77</v>
      </c>
      <c r="B1025" s="16" t="s">
        <v>51</v>
      </c>
      <c r="C1025" s="16" t="s">
        <v>97</v>
      </c>
      <c r="D1025" s="17" t="s">
        <v>2205</v>
      </c>
      <c r="E1025" s="15">
        <v>5.0</v>
      </c>
      <c r="F1025" s="20" t="s">
        <v>83</v>
      </c>
    </row>
    <row r="1026" ht="15.75" customHeight="1">
      <c r="A1026" s="14" t="s">
        <v>77</v>
      </c>
      <c r="B1026" s="16" t="s">
        <v>51</v>
      </c>
      <c r="C1026" s="16" t="s">
        <v>97</v>
      </c>
      <c r="D1026" s="17" t="s">
        <v>2202</v>
      </c>
      <c r="E1026" s="15">
        <v>5.0</v>
      </c>
      <c r="F1026" s="20" t="s">
        <v>83</v>
      </c>
    </row>
    <row r="1027" ht="15.75" customHeight="1">
      <c r="A1027" s="14" t="s">
        <v>77</v>
      </c>
      <c r="B1027" s="16" t="s">
        <v>51</v>
      </c>
      <c r="C1027" s="16" t="s">
        <v>97</v>
      </c>
      <c r="D1027" s="17" t="s">
        <v>2207</v>
      </c>
      <c r="E1027" s="15">
        <v>2.0</v>
      </c>
      <c r="F1027" s="20" t="s">
        <v>83</v>
      </c>
    </row>
    <row r="1028" ht="15.75" customHeight="1">
      <c r="A1028" s="14" t="s">
        <v>77</v>
      </c>
      <c r="B1028" s="16" t="s">
        <v>51</v>
      </c>
      <c r="C1028" s="16" t="s">
        <v>97</v>
      </c>
      <c r="D1028" s="17" t="s">
        <v>2214</v>
      </c>
      <c r="E1028" s="15">
        <v>2.0</v>
      </c>
      <c r="F1028" s="20" t="s">
        <v>83</v>
      </c>
    </row>
    <row r="1029" ht="15.75" customHeight="1">
      <c r="A1029" s="14" t="s">
        <v>77</v>
      </c>
      <c r="B1029" s="16" t="s">
        <v>51</v>
      </c>
      <c r="C1029" s="16" t="s">
        <v>97</v>
      </c>
      <c r="D1029" s="17" t="s">
        <v>2212</v>
      </c>
      <c r="E1029" s="15">
        <v>2.0</v>
      </c>
      <c r="F1029" s="20" t="s">
        <v>83</v>
      </c>
    </row>
    <row r="1030" ht="15.75" customHeight="1">
      <c r="A1030" s="14" t="s">
        <v>77</v>
      </c>
      <c r="B1030" s="16" t="s">
        <v>51</v>
      </c>
      <c r="C1030" s="16" t="s">
        <v>97</v>
      </c>
      <c r="D1030" s="17" t="s">
        <v>2299</v>
      </c>
      <c r="E1030" s="15">
        <v>44.0</v>
      </c>
      <c r="F1030" s="20" t="s">
        <v>83</v>
      </c>
    </row>
    <row r="1031" ht="15.75" customHeight="1">
      <c r="A1031" s="14" t="s">
        <v>77</v>
      </c>
      <c r="B1031" s="16" t="s">
        <v>51</v>
      </c>
      <c r="C1031" s="16" t="s">
        <v>97</v>
      </c>
      <c r="D1031" s="17" t="s">
        <v>2302</v>
      </c>
      <c r="E1031" s="15">
        <v>2.0</v>
      </c>
      <c r="F1031" s="20" t="s">
        <v>83</v>
      </c>
    </row>
    <row r="1032" ht="15.75" customHeight="1">
      <c r="A1032" s="14" t="s">
        <v>77</v>
      </c>
      <c r="B1032" s="16" t="s">
        <v>51</v>
      </c>
      <c r="C1032" s="16" t="s">
        <v>97</v>
      </c>
      <c r="D1032" s="17" t="s">
        <v>2305</v>
      </c>
      <c r="E1032" s="15">
        <v>2.0</v>
      </c>
      <c r="F1032" s="20" t="s">
        <v>83</v>
      </c>
    </row>
    <row r="1033" ht="15.75" customHeight="1">
      <c r="A1033" s="14" t="s">
        <v>77</v>
      </c>
      <c r="B1033" s="16" t="s">
        <v>51</v>
      </c>
      <c r="C1033" s="16" t="s">
        <v>97</v>
      </c>
      <c r="D1033" s="17" t="s">
        <v>1787</v>
      </c>
      <c r="E1033" s="15">
        <v>1.0</v>
      </c>
      <c r="F1033" s="20" t="s">
        <v>83</v>
      </c>
    </row>
    <row r="1034" ht="15.75" customHeight="1">
      <c r="A1034" s="14" t="s">
        <v>77</v>
      </c>
      <c r="B1034" s="16" t="s">
        <v>51</v>
      </c>
      <c r="C1034" s="16" t="s">
        <v>97</v>
      </c>
      <c r="D1034" s="17" t="s">
        <v>2292</v>
      </c>
      <c r="E1034" s="15">
        <v>1.0</v>
      </c>
      <c r="F1034" s="20" t="s">
        <v>83</v>
      </c>
    </row>
    <row r="1035" ht="15.75" customHeight="1">
      <c r="A1035" s="14" t="s">
        <v>77</v>
      </c>
      <c r="B1035" s="16" t="s">
        <v>51</v>
      </c>
      <c r="C1035" s="16" t="s">
        <v>97</v>
      </c>
      <c r="D1035" s="17" t="s">
        <v>2291</v>
      </c>
      <c r="E1035" s="15">
        <v>1.0</v>
      </c>
      <c r="F1035" s="20" t="s">
        <v>83</v>
      </c>
    </row>
    <row r="1036" ht="15.75" customHeight="1">
      <c r="A1036" s="14" t="s">
        <v>77</v>
      </c>
      <c r="B1036" s="16" t="s">
        <v>51</v>
      </c>
      <c r="C1036" s="16" t="s">
        <v>97</v>
      </c>
      <c r="D1036" s="17" t="s">
        <v>1791</v>
      </c>
      <c r="E1036" s="15">
        <v>1.0</v>
      </c>
      <c r="F1036" s="20" t="s">
        <v>83</v>
      </c>
    </row>
    <row r="1037" ht="15.75" customHeight="1">
      <c r="A1037" s="14" t="s">
        <v>77</v>
      </c>
      <c r="B1037" s="16" t="s">
        <v>51</v>
      </c>
      <c r="C1037" s="16" t="s">
        <v>97</v>
      </c>
      <c r="D1037" s="17" t="s">
        <v>2296</v>
      </c>
      <c r="E1037" s="15">
        <v>1.0</v>
      </c>
      <c r="F1037" s="20" t="s">
        <v>83</v>
      </c>
    </row>
    <row r="1038" ht="15.75" customHeight="1">
      <c r="A1038" s="14" t="s">
        <v>77</v>
      </c>
      <c r="B1038" s="16" t="s">
        <v>51</v>
      </c>
      <c r="C1038" s="16" t="s">
        <v>97</v>
      </c>
      <c r="D1038" s="17" t="s">
        <v>2295</v>
      </c>
      <c r="E1038" s="15">
        <v>1.0</v>
      </c>
      <c r="F1038" s="20" t="s">
        <v>83</v>
      </c>
    </row>
    <row r="1039" ht="15.75" customHeight="1">
      <c r="A1039" s="14" t="s">
        <v>77</v>
      </c>
      <c r="B1039" s="16" t="s">
        <v>51</v>
      </c>
      <c r="C1039" s="16" t="s">
        <v>97</v>
      </c>
      <c r="D1039" s="17" t="s">
        <v>1796</v>
      </c>
      <c r="E1039" s="15">
        <v>55.0</v>
      </c>
      <c r="F1039" s="20" t="s">
        <v>83</v>
      </c>
    </row>
    <row r="1040" ht="15.75" customHeight="1">
      <c r="A1040" s="14" t="s">
        <v>77</v>
      </c>
      <c r="B1040" s="16" t="s">
        <v>51</v>
      </c>
      <c r="C1040" s="16" t="s">
        <v>97</v>
      </c>
      <c r="D1040" s="17" t="s">
        <v>2253</v>
      </c>
      <c r="E1040" s="15">
        <v>55.0</v>
      </c>
      <c r="F1040" s="20" t="s">
        <v>83</v>
      </c>
    </row>
    <row r="1041" ht="15.75" customHeight="1">
      <c r="A1041" s="14" t="s">
        <v>77</v>
      </c>
      <c r="B1041" s="16" t="s">
        <v>51</v>
      </c>
      <c r="C1041" s="16" t="s">
        <v>97</v>
      </c>
      <c r="D1041" s="17" t="s">
        <v>2254</v>
      </c>
      <c r="E1041" s="15">
        <v>42.0</v>
      </c>
      <c r="F1041" s="20" t="s">
        <v>83</v>
      </c>
    </row>
    <row r="1042" ht="15.75" customHeight="1">
      <c r="A1042" s="14" t="s">
        <v>77</v>
      </c>
      <c r="B1042" s="16" t="s">
        <v>51</v>
      </c>
      <c r="C1042" s="16" t="s">
        <v>97</v>
      </c>
      <c r="D1042" s="17" t="s">
        <v>1916</v>
      </c>
      <c r="E1042" s="15">
        <v>55.0</v>
      </c>
      <c r="F1042" s="20" t="s">
        <v>83</v>
      </c>
    </row>
    <row r="1043" ht="15.75" customHeight="1">
      <c r="A1043" s="14" t="s">
        <v>77</v>
      </c>
      <c r="B1043" s="16" t="s">
        <v>51</v>
      </c>
      <c r="C1043" s="16" t="s">
        <v>97</v>
      </c>
      <c r="D1043" s="17" t="s">
        <v>1799</v>
      </c>
      <c r="E1043" s="15">
        <v>11.0</v>
      </c>
      <c r="F1043" s="20" t="s">
        <v>83</v>
      </c>
    </row>
    <row r="1044" ht="15.75" customHeight="1">
      <c r="A1044" s="14" t="s">
        <v>77</v>
      </c>
      <c r="B1044" s="16" t="s">
        <v>51</v>
      </c>
      <c r="C1044" s="16" t="s">
        <v>97</v>
      </c>
      <c r="D1044" s="17" t="s">
        <v>1377</v>
      </c>
      <c r="E1044" s="15">
        <v>11.0</v>
      </c>
      <c r="F1044" s="20" t="s">
        <v>83</v>
      </c>
    </row>
    <row r="1045" ht="15.75" customHeight="1">
      <c r="A1045" s="14" t="s">
        <v>77</v>
      </c>
      <c r="B1045" s="16" t="s">
        <v>51</v>
      </c>
      <c r="C1045" s="16" t="s">
        <v>97</v>
      </c>
      <c r="D1045" s="17" t="s">
        <v>2258</v>
      </c>
      <c r="E1045" s="15">
        <v>1.0</v>
      </c>
      <c r="F1045" s="20" t="s">
        <v>83</v>
      </c>
    </row>
    <row r="1046" ht="15.75" customHeight="1">
      <c r="A1046" s="14" t="s">
        <v>77</v>
      </c>
      <c r="B1046" s="16" t="s">
        <v>51</v>
      </c>
      <c r="C1046" s="16" t="s">
        <v>97</v>
      </c>
      <c r="D1046" s="17" t="s">
        <v>1919</v>
      </c>
      <c r="E1046" s="15">
        <v>11.0</v>
      </c>
      <c r="F1046" s="20" t="s">
        <v>83</v>
      </c>
    </row>
    <row r="1047" ht="15.75" customHeight="1">
      <c r="A1047" s="14" t="s">
        <v>77</v>
      </c>
      <c r="B1047" s="16" t="s">
        <v>51</v>
      </c>
      <c r="C1047" s="16" t="s">
        <v>97</v>
      </c>
      <c r="D1047" s="17" t="s">
        <v>2259</v>
      </c>
      <c r="E1047" s="15">
        <v>6.0</v>
      </c>
      <c r="F1047" s="20" t="s">
        <v>83</v>
      </c>
    </row>
    <row r="1048" ht="15.75" customHeight="1">
      <c r="A1048" s="14" t="s">
        <v>77</v>
      </c>
      <c r="B1048" s="16" t="s">
        <v>51</v>
      </c>
      <c r="C1048" s="16" t="s">
        <v>97</v>
      </c>
      <c r="D1048" s="17" t="s">
        <v>2262</v>
      </c>
      <c r="E1048" s="15">
        <v>6.0</v>
      </c>
      <c r="F1048" s="20" t="s">
        <v>83</v>
      </c>
    </row>
    <row r="1049" ht="15.75" customHeight="1">
      <c r="A1049" s="14" t="s">
        <v>77</v>
      </c>
      <c r="B1049" s="16" t="s">
        <v>51</v>
      </c>
      <c r="C1049" s="16" t="s">
        <v>97</v>
      </c>
      <c r="D1049" s="17" t="s">
        <v>1921</v>
      </c>
      <c r="E1049" s="15">
        <v>6.0</v>
      </c>
      <c r="F1049" s="20" t="s">
        <v>83</v>
      </c>
    </row>
    <row r="1050" ht="15.75" customHeight="1">
      <c r="A1050" s="14" t="s">
        <v>77</v>
      </c>
      <c r="B1050" s="16" t="s">
        <v>51</v>
      </c>
      <c r="C1050" s="16" t="s">
        <v>97</v>
      </c>
      <c r="D1050" s="17" t="s">
        <v>2263</v>
      </c>
      <c r="E1050" s="15">
        <v>4.0</v>
      </c>
      <c r="F1050" s="20" t="s">
        <v>83</v>
      </c>
    </row>
    <row r="1051" ht="15.75" customHeight="1">
      <c r="A1051" s="14" t="s">
        <v>77</v>
      </c>
      <c r="B1051" s="16" t="s">
        <v>51</v>
      </c>
      <c r="C1051" s="16" t="s">
        <v>97</v>
      </c>
      <c r="D1051" s="17" t="s">
        <v>2266</v>
      </c>
      <c r="E1051" s="15">
        <v>4.0</v>
      </c>
      <c r="F1051" s="20" t="s">
        <v>83</v>
      </c>
    </row>
    <row r="1052" ht="15.75" customHeight="1">
      <c r="A1052" s="14" t="s">
        <v>77</v>
      </c>
      <c r="B1052" s="16" t="s">
        <v>51</v>
      </c>
      <c r="C1052" s="16" t="s">
        <v>97</v>
      </c>
      <c r="D1052" s="17" t="s">
        <v>1922</v>
      </c>
      <c r="E1052" s="15">
        <v>4.0</v>
      </c>
      <c r="F1052" s="20" t="s">
        <v>83</v>
      </c>
    </row>
    <row r="1053" ht="15.75" customHeight="1">
      <c r="A1053" s="14" t="s">
        <v>77</v>
      </c>
      <c r="B1053" s="16" t="s">
        <v>51</v>
      </c>
      <c r="C1053" s="16" t="s">
        <v>97</v>
      </c>
      <c r="D1053" s="17" t="s">
        <v>2267</v>
      </c>
      <c r="E1053" s="15">
        <v>3.0</v>
      </c>
      <c r="F1053" s="20" t="s">
        <v>83</v>
      </c>
    </row>
    <row r="1054" ht="15.75" customHeight="1">
      <c r="A1054" s="14" t="s">
        <v>77</v>
      </c>
      <c r="B1054" s="16" t="s">
        <v>51</v>
      </c>
      <c r="C1054" s="16" t="s">
        <v>97</v>
      </c>
      <c r="D1054" s="17" t="s">
        <v>2270</v>
      </c>
      <c r="E1054" s="15">
        <v>3.0</v>
      </c>
      <c r="F1054" s="20" t="s">
        <v>83</v>
      </c>
    </row>
    <row r="1055" ht="15.75" customHeight="1">
      <c r="A1055" s="14" t="s">
        <v>77</v>
      </c>
      <c r="B1055" s="16" t="s">
        <v>51</v>
      </c>
      <c r="C1055" s="16" t="s">
        <v>97</v>
      </c>
      <c r="D1055" s="17" t="s">
        <v>1924</v>
      </c>
      <c r="E1055" s="15">
        <v>3.0</v>
      </c>
      <c r="F1055" s="20" t="s">
        <v>83</v>
      </c>
    </row>
    <row r="1056" ht="15.75" customHeight="1">
      <c r="A1056" s="14" t="s">
        <v>77</v>
      </c>
      <c r="B1056" s="16" t="s">
        <v>51</v>
      </c>
      <c r="C1056" s="16" t="s">
        <v>97</v>
      </c>
      <c r="D1056" s="17" t="s">
        <v>2273</v>
      </c>
      <c r="E1056" s="15">
        <v>2.0</v>
      </c>
      <c r="F1056" s="20" t="s">
        <v>83</v>
      </c>
    </row>
    <row r="1057" ht="15.75" customHeight="1">
      <c r="A1057" s="14" t="s">
        <v>77</v>
      </c>
      <c r="B1057" s="16" t="s">
        <v>51</v>
      </c>
      <c r="C1057" s="16" t="s">
        <v>97</v>
      </c>
      <c r="D1057" s="17" t="s">
        <v>2278</v>
      </c>
      <c r="E1057" s="15">
        <v>2.0</v>
      </c>
      <c r="F1057" s="20" t="s">
        <v>83</v>
      </c>
    </row>
    <row r="1058" ht="15.75" customHeight="1">
      <c r="A1058" s="14" t="s">
        <v>77</v>
      </c>
      <c r="B1058" s="16" t="s">
        <v>51</v>
      </c>
      <c r="C1058" s="16" t="s">
        <v>97</v>
      </c>
      <c r="D1058" s="17" t="s">
        <v>1926</v>
      </c>
      <c r="E1058" s="15">
        <v>2.0</v>
      </c>
      <c r="F1058" s="20" t="s">
        <v>83</v>
      </c>
    </row>
    <row r="1059" ht="15.75" customHeight="1">
      <c r="A1059" s="14" t="s">
        <v>77</v>
      </c>
      <c r="B1059" s="16" t="s">
        <v>51</v>
      </c>
      <c r="C1059" s="16" t="s">
        <v>97</v>
      </c>
      <c r="D1059" s="17" t="s">
        <v>2280</v>
      </c>
      <c r="E1059" s="15">
        <v>2.0</v>
      </c>
      <c r="F1059" s="20" t="s">
        <v>83</v>
      </c>
    </row>
    <row r="1060" ht="15.75" customHeight="1">
      <c r="A1060" s="14" t="s">
        <v>77</v>
      </c>
      <c r="B1060" s="16" t="s">
        <v>51</v>
      </c>
      <c r="C1060" s="16" t="s">
        <v>97</v>
      </c>
      <c r="D1060" s="17" t="s">
        <v>2284</v>
      </c>
      <c r="E1060" s="15">
        <v>2.0</v>
      </c>
      <c r="F1060" s="20" t="s">
        <v>83</v>
      </c>
    </row>
    <row r="1061" ht="15.75" customHeight="1">
      <c r="A1061" s="14" t="s">
        <v>77</v>
      </c>
      <c r="B1061" s="16" t="s">
        <v>51</v>
      </c>
      <c r="C1061" s="16" t="s">
        <v>97</v>
      </c>
      <c r="D1061" s="17" t="s">
        <v>1929</v>
      </c>
      <c r="E1061" s="15">
        <v>2.0</v>
      </c>
      <c r="F1061" s="20" t="s">
        <v>83</v>
      </c>
    </row>
    <row r="1062" ht="15.75" customHeight="1">
      <c r="A1062" s="14" t="s">
        <v>77</v>
      </c>
      <c r="B1062" s="16" t="s">
        <v>51</v>
      </c>
      <c r="C1062" s="16" t="s">
        <v>97</v>
      </c>
      <c r="D1062" s="17" t="s">
        <v>2285</v>
      </c>
      <c r="E1062" s="15">
        <v>1.0</v>
      </c>
      <c r="F1062" s="20" t="s">
        <v>83</v>
      </c>
    </row>
    <row r="1063" ht="15.75" customHeight="1">
      <c r="A1063" s="14" t="s">
        <v>77</v>
      </c>
      <c r="B1063" s="16" t="s">
        <v>51</v>
      </c>
      <c r="C1063" s="16" t="s">
        <v>97</v>
      </c>
      <c r="D1063" s="17" t="s">
        <v>2288</v>
      </c>
      <c r="E1063" s="15">
        <v>1.0</v>
      </c>
      <c r="F1063" s="20" t="s">
        <v>83</v>
      </c>
    </row>
    <row r="1064" ht="15.75" customHeight="1">
      <c r="A1064" s="14" t="s">
        <v>77</v>
      </c>
      <c r="B1064" s="16" t="s">
        <v>51</v>
      </c>
      <c r="C1064" s="16" t="s">
        <v>97</v>
      </c>
      <c r="D1064" s="17" t="s">
        <v>1931</v>
      </c>
      <c r="E1064" s="15">
        <v>1.0</v>
      </c>
      <c r="F1064" s="20" t="s">
        <v>83</v>
      </c>
    </row>
    <row r="1065" ht="15.75" customHeight="1">
      <c r="A1065" s="14" t="s">
        <v>77</v>
      </c>
      <c r="B1065" s="16" t="s">
        <v>51</v>
      </c>
      <c r="C1065" s="16" t="s">
        <v>97</v>
      </c>
      <c r="D1065" s="17" t="s">
        <v>2245</v>
      </c>
      <c r="E1065" s="15">
        <v>2.0</v>
      </c>
      <c r="F1065" s="20" t="s">
        <v>83</v>
      </c>
    </row>
    <row r="1066" ht="15.75" customHeight="1">
      <c r="A1066" s="14" t="s">
        <v>77</v>
      </c>
      <c r="B1066" s="16" t="s">
        <v>51</v>
      </c>
      <c r="C1066" s="16" t="s">
        <v>97</v>
      </c>
      <c r="D1066" s="17" t="s">
        <v>2243</v>
      </c>
      <c r="E1066" s="15">
        <v>1.0</v>
      </c>
      <c r="F1066" s="20" t="s">
        <v>83</v>
      </c>
    </row>
    <row r="1067" ht="15.75" customHeight="1">
      <c r="A1067" s="14" t="s">
        <v>243</v>
      </c>
      <c r="B1067" s="16" t="s">
        <v>228</v>
      </c>
      <c r="C1067" s="16" t="s">
        <v>97</v>
      </c>
      <c r="D1067" s="17" t="s">
        <v>887</v>
      </c>
      <c r="E1067" s="15">
        <v>315.0</v>
      </c>
      <c r="F1067" s="20" t="s">
        <v>244</v>
      </c>
    </row>
    <row r="1068" ht="15.75" customHeight="1">
      <c r="A1068" s="14" t="s">
        <v>305</v>
      </c>
      <c r="B1068" s="16" t="s">
        <v>306</v>
      </c>
      <c r="C1068" s="16" t="s">
        <v>46</v>
      </c>
      <c r="D1068" s="17" t="s">
        <v>126</v>
      </c>
      <c r="E1068" s="15">
        <v>1.0</v>
      </c>
      <c r="F1068" s="20" t="s">
        <v>307</v>
      </c>
    </row>
    <row r="1069" ht="15.75" customHeight="1">
      <c r="A1069" s="14" t="s">
        <v>305</v>
      </c>
      <c r="B1069" s="16" t="s">
        <v>306</v>
      </c>
      <c r="C1069" s="16" t="s">
        <v>97</v>
      </c>
      <c r="D1069" s="17" t="s">
        <v>853</v>
      </c>
      <c r="E1069" s="15">
        <v>1.0</v>
      </c>
      <c r="F1069" s="20" t="s">
        <v>307</v>
      </c>
    </row>
    <row r="1070" ht="15.75" customHeight="1">
      <c r="A1070" s="21" t="s">
        <v>305</v>
      </c>
      <c r="B1070" s="24" t="s">
        <v>306</v>
      </c>
      <c r="C1070" s="24" t="s">
        <v>79</v>
      </c>
      <c r="D1070" s="22" t="s">
        <v>126</v>
      </c>
      <c r="E1070" s="25">
        <v>1.0</v>
      </c>
      <c r="F1070" s="26" t="s">
        <v>307</v>
      </c>
    </row>
  </sheetData>
  <customSheetViews>
    <customSheetView guid="{77CFAAD5-96F6-47AF-82F4-BC0F8432F5AC}" filter="1" showAutoFilter="1">
      <autoFilter ref="$A$4:$F$1070"/>
    </customSheetView>
  </customSheetViews>
  <mergeCells count="2">
    <mergeCell ref="A1:F1"/>
    <mergeCell ref="A2:F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20.0"/>
    <col customWidth="1" min="3" max="3" width="19.0"/>
    <col customWidth="1" min="4" max="4" width="21.0"/>
    <col customWidth="1" min="5" max="5" width="24.0"/>
    <col customWidth="1" min="6" max="6" width="20.0"/>
    <col customWidth="1" min="7" max="7" width="18.0"/>
    <col customWidth="1" min="8" max="26" width="8.63"/>
  </cols>
  <sheetData>
    <row r="1" ht="31.5" customHeight="1">
      <c r="A1" s="1" t="s">
        <v>419</v>
      </c>
    </row>
    <row r="2" ht="33.75" customHeight="1">
      <c r="A2" s="2" t="s">
        <v>420</v>
      </c>
    </row>
    <row r="4">
      <c r="A4" s="27" t="s">
        <v>422</v>
      </c>
    </row>
    <row r="5" ht="30.0" customHeight="1">
      <c r="A5" s="3" t="s">
        <v>9</v>
      </c>
      <c r="B5" s="4" t="s">
        <v>426</v>
      </c>
      <c r="C5" s="4" t="s">
        <v>427</v>
      </c>
      <c r="D5" s="4" t="s">
        <v>428</v>
      </c>
      <c r="E5" s="4" t="s">
        <v>430</v>
      </c>
      <c r="F5" s="4" t="s">
        <v>431</v>
      </c>
      <c r="G5" s="4" t="s">
        <v>433</v>
      </c>
    </row>
    <row r="6">
      <c r="A6" s="7" t="s">
        <v>46</v>
      </c>
      <c r="B6" s="9">
        <v>8496.0</v>
      </c>
      <c r="C6" s="9">
        <v>8483.0</v>
      </c>
      <c r="D6" s="9">
        <v>26.0</v>
      </c>
      <c r="E6" s="9">
        <v>13.0</v>
      </c>
      <c r="F6" s="9">
        <v>8480.0</v>
      </c>
      <c r="G6" s="28">
        <v>3.0</v>
      </c>
    </row>
    <row r="7">
      <c r="A7" s="14" t="s">
        <v>79</v>
      </c>
      <c r="B7" s="15">
        <v>10564.0</v>
      </c>
      <c r="C7" s="15">
        <v>10544.0</v>
      </c>
      <c r="D7" s="15">
        <v>40.0</v>
      </c>
      <c r="E7" s="15">
        <v>20.0</v>
      </c>
      <c r="F7" s="15">
        <v>10540.0</v>
      </c>
      <c r="G7" s="29">
        <v>4.0</v>
      </c>
    </row>
    <row r="8">
      <c r="A8" s="14" t="s">
        <v>97</v>
      </c>
      <c r="B8" s="15">
        <v>10564.0</v>
      </c>
      <c r="C8" s="15">
        <v>10544.0</v>
      </c>
      <c r="D8" s="15">
        <v>40.0</v>
      </c>
      <c r="E8" s="15">
        <v>20.0</v>
      </c>
      <c r="F8" s="15">
        <v>10540.0</v>
      </c>
      <c r="G8" s="29">
        <v>4.0</v>
      </c>
    </row>
    <row r="9">
      <c r="A9" s="21" t="s">
        <v>114</v>
      </c>
      <c r="B9" s="25">
        <v>2122.0</v>
      </c>
      <c r="C9" s="25">
        <v>2122.0</v>
      </c>
      <c r="D9" s="25">
        <v>0.0</v>
      </c>
      <c r="E9" s="25">
        <v>0.0</v>
      </c>
      <c r="F9" s="25">
        <v>2122.0</v>
      </c>
      <c r="G9" s="30">
        <v>0.0</v>
      </c>
    </row>
    <row r="11">
      <c r="A11" s="27" t="s">
        <v>444</v>
      </c>
    </row>
    <row r="12" ht="30.0" customHeight="1">
      <c r="A12" s="3" t="s">
        <v>445</v>
      </c>
      <c r="B12" s="3" t="s">
        <v>446</v>
      </c>
      <c r="C12" s="4" t="s">
        <v>447</v>
      </c>
      <c r="D12" s="4" t="s">
        <v>449</v>
      </c>
      <c r="E12" s="4" t="s">
        <v>451</v>
      </c>
    </row>
    <row r="13">
      <c r="A13" s="7" t="s">
        <v>46</v>
      </c>
      <c r="B13" s="8" t="s">
        <v>79</v>
      </c>
      <c r="C13" s="9">
        <v>8483.0</v>
      </c>
      <c r="D13" s="9">
        <v>8480.0</v>
      </c>
      <c r="E13" s="28">
        <v>0.0</v>
      </c>
    </row>
    <row r="14">
      <c r="A14" s="14" t="s">
        <v>46</v>
      </c>
      <c r="B14" s="16" t="s">
        <v>97</v>
      </c>
      <c r="C14" s="15">
        <v>8483.0</v>
      </c>
      <c r="D14" s="15">
        <v>8480.0</v>
      </c>
      <c r="E14" s="29">
        <v>0.0</v>
      </c>
    </row>
    <row r="15">
      <c r="A15" s="14" t="s">
        <v>46</v>
      </c>
      <c r="B15" s="16" t="s">
        <v>114</v>
      </c>
      <c r="C15" s="15">
        <v>1059.0</v>
      </c>
      <c r="D15" s="15">
        <v>1107.0</v>
      </c>
      <c r="E15" s="29">
        <v>48.0</v>
      </c>
    </row>
    <row r="16">
      <c r="A16" s="14" t="s">
        <v>79</v>
      </c>
      <c r="B16" s="16" t="s">
        <v>97</v>
      </c>
      <c r="C16" s="15">
        <v>10544.0</v>
      </c>
      <c r="D16" s="15">
        <v>10540.0</v>
      </c>
      <c r="E16" s="29">
        <v>0.0</v>
      </c>
    </row>
    <row r="17">
      <c r="A17" s="14" t="s">
        <v>79</v>
      </c>
      <c r="B17" s="16" t="s">
        <v>114</v>
      </c>
      <c r="C17" s="15">
        <v>1480.0</v>
      </c>
      <c r="D17" s="15">
        <v>1559.0</v>
      </c>
      <c r="E17" s="29">
        <v>79.0</v>
      </c>
    </row>
    <row r="18">
      <c r="A18" s="21" t="s">
        <v>97</v>
      </c>
      <c r="B18" s="24" t="s">
        <v>114</v>
      </c>
      <c r="C18" s="25">
        <v>1480.0</v>
      </c>
      <c r="D18" s="25">
        <v>1559.0</v>
      </c>
      <c r="E18" s="30">
        <v>79.0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D331DA3-8F5D-44A0-B007-D2372CC1A6B5}" filter="1" showAutoFilter="1">
      <autoFilter ref="$A$12:$E$18"/>
    </customSheetView>
    <customSheetView guid="{AED783B0-2F23-4450-AD8F-6EF964C8D758}" filter="1" showAutoFilter="1">
      <autoFilter ref="$A$5:$G$9"/>
    </customSheetView>
  </customSheetViews>
  <mergeCells count="4">
    <mergeCell ref="A1:G1"/>
    <mergeCell ref="A2:G2"/>
    <mergeCell ref="A4:G4"/>
    <mergeCell ref="A11:G1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8.0"/>
    <col customWidth="1" min="2" max="2" width="34.0"/>
    <col customWidth="1" min="3" max="3" width="15.0"/>
    <col customWidth="1" min="4" max="4" width="48.0"/>
    <col customWidth="1" min="5" max="6" width="21.0"/>
    <col customWidth="1" min="7" max="26" width="8.63"/>
  </cols>
  <sheetData>
    <row r="1" ht="31.5" customHeight="1">
      <c r="A1" s="1" t="s">
        <v>506</v>
      </c>
    </row>
    <row r="2" ht="33.75" customHeight="1">
      <c r="A2" s="2" t="s">
        <v>507</v>
      </c>
    </row>
    <row r="4">
      <c r="A4" s="27" t="s">
        <v>508</v>
      </c>
    </row>
    <row r="5" ht="30.0" customHeight="1">
      <c r="A5" s="3" t="s">
        <v>9</v>
      </c>
      <c r="B5" s="4" t="s">
        <v>510</v>
      </c>
      <c r="C5" s="4" t="s">
        <v>511</v>
      </c>
      <c r="D5" s="4" t="s">
        <v>512</v>
      </c>
      <c r="E5" s="4" t="s">
        <v>513</v>
      </c>
      <c r="F5" s="4" t="s">
        <v>514</v>
      </c>
    </row>
    <row r="6">
      <c r="A6" s="7" t="s">
        <v>46</v>
      </c>
      <c r="B6" s="9">
        <v>14712.0</v>
      </c>
      <c r="C6" s="9">
        <v>14712.0</v>
      </c>
      <c r="D6" s="9">
        <v>0.0</v>
      </c>
      <c r="E6" s="9">
        <v>55636.0</v>
      </c>
      <c r="F6" s="28">
        <v>30622.0</v>
      </c>
    </row>
    <row r="7">
      <c r="A7" s="14" t="s">
        <v>79</v>
      </c>
      <c r="B7" s="15">
        <v>0.0</v>
      </c>
      <c r="C7" s="15">
        <v>0.0</v>
      </c>
      <c r="D7" s="15">
        <v>0.0</v>
      </c>
      <c r="E7" s="15">
        <v>0.0</v>
      </c>
      <c r="F7" s="29">
        <v>0.0</v>
      </c>
    </row>
    <row r="8">
      <c r="A8" s="14" t="s">
        <v>97</v>
      </c>
      <c r="B8" s="15">
        <v>42855.0</v>
      </c>
      <c r="C8" s="15">
        <v>42265.0</v>
      </c>
      <c r="D8" s="15">
        <v>1473.0</v>
      </c>
      <c r="E8" s="15">
        <v>50177.0</v>
      </c>
      <c r="F8" s="29">
        <v>40075.0</v>
      </c>
    </row>
    <row r="9">
      <c r="A9" s="21" t="s">
        <v>114</v>
      </c>
      <c r="B9" s="25">
        <v>6734.0</v>
      </c>
      <c r="C9" s="25">
        <v>6733.0</v>
      </c>
      <c r="D9" s="25">
        <v>0.0</v>
      </c>
      <c r="E9" s="25">
        <v>8446.0</v>
      </c>
      <c r="F9" s="30">
        <v>7903.0</v>
      </c>
    </row>
    <row r="11">
      <c r="A11" s="27" t="s">
        <v>522</v>
      </c>
    </row>
    <row r="12" ht="30.0" customHeight="1">
      <c r="A12" s="3" t="s">
        <v>523</v>
      </c>
      <c r="B12" s="3" t="s">
        <v>524</v>
      </c>
      <c r="C12" s="4" t="s">
        <v>525</v>
      </c>
      <c r="D12" s="3" t="s">
        <v>527</v>
      </c>
    </row>
    <row r="13">
      <c r="A13" s="31" t="s">
        <v>528</v>
      </c>
      <c r="B13" s="10" t="s">
        <v>530</v>
      </c>
      <c r="C13" s="9">
        <v>41135.0</v>
      </c>
      <c r="D13" s="12" t="s">
        <v>532</v>
      </c>
    </row>
    <row r="14">
      <c r="A14" s="32" t="s">
        <v>533</v>
      </c>
      <c r="B14" s="17" t="s">
        <v>536</v>
      </c>
      <c r="C14" s="15">
        <v>6610.0</v>
      </c>
      <c r="D14" s="20" t="s">
        <v>537</v>
      </c>
    </row>
    <row r="15">
      <c r="A15" s="32" t="s">
        <v>539</v>
      </c>
      <c r="B15" s="17" t="s">
        <v>541</v>
      </c>
      <c r="C15" s="15">
        <v>81584.0</v>
      </c>
      <c r="D15" s="20" t="s">
        <v>542</v>
      </c>
    </row>
    <row r="16">
      <c r="A16" s="33" t="s">
        <v>543</v>
      </c>
      <c r="B16" s="22" t="s">
        <v>545</v>
      </c>
      <c r="C16" s="25">
        <v>58278.0</v>
      </c>
      <c r="D16" s="26" t="s">
        <v>542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8B4BC81-81F8-4947-9237-23599D7167C5}" filter="1" showAutoFilter="1">
      <autoFilter ref="$A$5:$F$9"/>
    </customSheetView>
    <customSheetView guid="{32B5483F-49BD-4A47-A9CF-EC2FBC80516D}" filter="1" showAutoFilter="1">
      <autoFilter ref="$A$12:$D$16"/>
    </customSheetView>
  </customSheetViews>
  <mergeCells count="4">
    <mergeCell ref="A1:G1"/>
    <mergeCell ref="A2:G2"/>
    <mergeCell ref="A4:G4"/>
    <mergeCell ref="A11:G1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6.0"/>
    <col customWidth="1" min="2" max="2" width="34.0"/>
    <col customWidth="1" min="3" max="3" width="18.0"/>
    <col customWidth="1" min="4" max="4" width="48.0"/>
    <col customWidth="1" min="5" max="5" width="15.0"/>
    <col customWidth="1" min="6" max="6" width="46.0"/>
    <col customWidth="1" min="7" max="26" width="8.63"/>
  </cols>
  <sheetData>
    <row r="1" ht="31.5" customHeight="1">
      <c r="A1" s="1" t="s">
        <v>588</v>
      </c>
    </row>
    <row r="2" ht="33.75" customHeight="1">
      <c r="A2" s="2" t="s">
        <v>590</v>
      </c>
    </row>
    <row r="4" ht="30.0" customHeight="1">
      <c r="A4" s="3" t="s">
        <v>592</v>
      </c>
      <c r="B4" s="3" t="s">
        <v>593</v>
      </c>
      <c r="C4" s="3" t="s">
        <v>594</v>
      </c>
      <c r="D4" s="3" t="s">
        <v>595</v>
      </c>
      <c r="E4" s="3" t="s">
        <v>597</v>
      </c>
      <c r="F4" s="3" t="s">
        <v>598</v>
      </c>
    </row>
    <row r="5">
      <c r="A5" s="31" t="s">
        <v>599</v>
      </c>
      <c r="B5" s="10" t="s">
        <v>600</v>
      </c>
      <c r="C5" s="8" t="s">
        <v>68</v>
      </c>
      <c r="D5" s="10" t="s">
        <v>602</v>
      </c>
      <c r="E5" s="8" t="s">
        <v>604</v>
      </c>
      <c r="F5" s="12" t="s">
        <v>605</v>
      </c>
    </row>
    <row r="6">
      <c r="A6" s="32" t="s">
        <v>599</v>
      </c>
      <c r="B6" s="17" t="s">
        <v>607</v>
      </c>
      <c r="C6" s="16" t="s">
        <v>68</v>
      </c>
      <c r="D6" s="17" t="s">
        <v>609</v>
      </c>
      <c r="E6" s="16" t="s">
        <v>610</v>
      </c>
      <c r="F6" s="20" t="s">
        <v>611</v>
      </c>
    </row>
    <row r="7">
      <c r="A7" s="32" t="s">
        <v>599</v>
      </c>
      <c r="B7" s="17" t="s">
        <v>613</v>
      </c>
      <c r="C7" s="16" t="s">
        <v>68</v>
      </c>
      <c r="D7" s="17" t="s">
        <v>614</v>
      </c>
      <c r="E7" s="16" t="s">
        <v>615</v>
      </c>
      <c r="F7" s="20" t="s">
        <v>617</v>
      </c>
    </row>
    <row r="8">
      <c r="A8" s="32" t="s">
        <v>599</v>
      </c>
      <c r="B8" s="17" t="s">
        <v>618</v>
      </c>
      <c r="C8" s="16" t="s">
        <v>68</v>
      </c>
      <c r="D8" s="17" t="s">
        <v>620</v>
      </c>
      <c r="E8" s="16" t="s">
        <v>610</v>
      </c>
      <c r="F8" s="20" t="s">
        <v>621</v>
      </c>
    </row>
    <row r="9">
      <c r="A9" s="32" t="s">
        <v>599</v>
      </c>
      <c r="B9" s="17" t="s">
        <v>622</v>
      </c>
      <c r="C9" s="16" t="s">
        <v>68</v>
      </c>
      <c r="D9" s="17" t="s">
        <v>624</v>
      </c>
      <c r="E9" s="16" t="s">
        <v>615</v>
      </c>
      <c r="F9" s="20" t="s">
        <v>626</v>
      </c>
    </row>
    <row r="10">
      <c r="A10" s="32" t="s">
        <v>599</v>
      </c>
      <c r="B10" s="17" t="s">
        <v>627</v>
      </c>
      <c r="C10" s="16" t="s">
        <v>68</v>
      </c>
      <c r="D10" s="17" t="s">
        <v>628</v>
      </c>
      <c r="E10" s="16" t="s">
        <v>615</v>
      </c>
      <c r="F10" s="20" t="s">
        <v>629</v>
      </c>
    </row>
    <row r="11">
      <c r="A11" s="32" t="s">
        <v>599</v>
      </c>
      <c r="B11" s="17" t="s">
        <v>631</v>
      </c>
      <c r="C11" s="16" t="s">
        <v>68</v>
      </c>
      <c r="D11" s="17" t="s">
        <v>632</v>
      </c>
      <c r="E11" s="16" t="s">
        <v>615</v>
      </c>
      <c r="F11" s="20" t="s">
        <v>634</v>
      </c>
    </row>
    <row r="12">
      <c r="A12" s="32" t="s">
        <v>599</v>
      </c>
      <c r="B12" s="17" t="s">
        <v>637</v>
      </c>
      <c r="C12" s="16" t="s">
        <v>68</v>
      </c>
      <c r="D12" s="17" t="s">
        <v>638</v>
      </c>
      <c r="E12" s="16" t="s">
        <v>615</v>
      </c>
      <c r="F12" s="20" t="s">
        <v>639</v>
      </c>
    </row>
    <row r="13">
      <c r="A13" s="32" t="s">
        <v>599</v>
      </c>
      <c r="B13" s="17" t="s">
        <v>640</v>
      </c>
      <c r="C13" s="16" t="s">
        <v>162</v>
      </c>
      <c r="D13" s="17" t="s">
        <v>643</v>
      </c>
      <c r="E13" s="16" t="s">
        <v>610</v>
      </c>
      <c r="F13" s="20" t="s">
        <v>644</v>
      </c>
    </row>
    <row r="14">
      <c r="A14" s="32" t="s">
        <v>599</v>
      </c>
      <c r="B14" s="17" t="s">
        <v>645</v>
      </c>
      <c r="C14" s="16" t="s">
        <v>162</v>
      </c>
      <c r="D14" s="17" t="s">
        <v>647</v>
      </c>
      <c r="E14" s="16" t="s">
        <v>610</v>
      </c>
      <c r="F14" s="20" t="s">
        <v>644</v>
      </c>
    </row>
    <row r="15">
      <c r="A15" s="32" t="s">
        <v>599</v>
      </c>
      <c r="B15" s="17" t="s">
        <v>151</v>
      </c>
      <c r="C15" s="16" t="s">
        <v>68</v>
      </c>
      <c r="D15" s="17" t="s">
        <v>650</v>
      </c>
      <c r="E15" s="16" t="s">
        <v>610</v>
      </c>
      <c r="F15" s="20" t="s">
        <v>651</v>
      </c>
    </row>
    <row r="16">
      <c r="A16" s="32" t="s">
        <v>599</v>
      </c>
      <c r="B16" s="17" t="s">
        <v>652</v>
      </c>
      <c r="C16" s="16" t="s">
        <v>68</v>
      </c>
      <c r="D16" s="17" t="s">
        <v>654</v>
      </c>
      <c r="E16" s="8" t="s">
        <v>604</v>
      </c>
      <c r="F16" s="20" t="s">
        <v>655</v>
      </c>
    </row>
    <row r="17">
      <c r="A17" s="32" t="s">
        <v>599</v>
      </c>
      <c r="B17" s="17" t="s">
        <v>656</v>
      </c>
      <c r="C17" s="16" t="s">
        <v>68</v>
      </c>
      <c r="D17" s="17" t="s">
        <v>658</v>
      </c>
      <c r="E17" s="8" t="s">
        <v>604</v>
      </c>
      <c r="F17" s="20" t="s">
        <v>659</v>
      </c>
    </row>
    <row r="18">
      <c r="A18" s="32" t="s">
        <v>599</v>
      </c>
      <c r="B18" s="17" t="s">
        <v>660</v>
      </c>
      <c r="C18" s="16" t="s">
        <v>66</v>
      </c>
      <c r="D18" s="17" t="s">
        <v>662</v>
      </c>
      <c r="E18" s="8" t="s">
        <v>604</v>
      </c>
      <c r="F18" s="20" t="s">
        <v>663</v>
      </c>
    </row>
    <row r="19">
      <c r="A19" s="32" t="s">
        <v>599</v>
      </c>
      <c r="B19" s="17" t="s">
        <v>664</v>
      </c>
      <c r="C19" s="16" t="s">
        <v>162</v>
      </c>
      <c r="D19" s="17" t="s">
        <v>665</v>
      </c>
      <c r="E19" s="8" t="s">
        <v>604</v>
      </c>
      <c r="F19" s="20" t="s">
        <v>667</v>
      </c>
    </row>
    <row r="20">
      <c r="A20" s="32" t="s">
        <v>599</v>
      </c>
      <c r="B20" s="17" t="s">
        <v>668</v>
      </c>
      <c r="C20" s="16" t="s">
        <v>669</v>
      </c>
      <c r="D20" s="17" t="s">
        <v>670</v>
      </c>
      <c r="E20" s="8" t="s">
        <v>604</v>
      </c>
      <c r="F20" s="20" t="s">
        <v>671</v>
      </c>
    </row>
    <row r="21" ht="15.75" customHeight="1">
      <c r="A21" s="32" t="s">
        <v>599</v>
      </c>
      <c r="B21" s="17" t="s">
        <v>673</v>
      </c>
      <c r="C21" s="16" t="s">
        <v>68</v>
      </c>
      <c r="D21" s="17" t="s">
        <v>674</v>
      </c>
      <c r="E21" s="16" t="s">
        <v>610</v>
      </c>
      <c r="F21" s="20" t="s">
        <v>675</v>
      </c>
    </row>
    <row r="22" ht="15.75" customHeight="1">
      <c r="A22" s="32" t="s">
        <v>599</v>
      </c>
      <c r="B22" s="17" t="s">
        <v>677</v>
      </c>
      <c r="C22" s="16" t="s">
        <v>678</v>
      </c>
      <c r="D22" s="17" t="s">
        <v>679</v>
      </c>
      <c r="E22" s="8" t="s">
        <v>604</v>
      </c>
      <c r="F22" s="20" t="s">
        <v>680</v>
      </c>
    </row>
    <row r="23" ht="15.75" customHeight="1">
      <c r="A23" s="32" t="s">
        <v>599</v>
      </c>
      <c r="B23" s="17" t="s">
        <v>681</v>
      </c>
      <c r="C23" s="16" t="s">
        <v>678</v>
      </c>
      <c r="D23" s="17" t="s">
        <v>683</v>
      </c>
      <c r="E23" s="8" t="s">
        <v>604</v>
      </c>
      <c r="F23" s="20" t="s">
        <v>684</v>
      </c>
    </row>
    <row r="24" ht="15.75" customHeight="1">
      <c r="A24" s="32" t="s">
        <v>599</v>
      </c>
      <c r="B24" s="17" t="s">
        <v>685</v>
      </c>
      <c r="C24" s="16" t="s">
        <v>162</v>
      </c>
      <c r="D24" s="17" t="s">
        <v>686</v>
      </c>
      <c r="E24" s="8" t="s">
        <v>604</v>
      </c>
      <c r="F24" s="20" t="s">
        <v>688</v>
      </c>
    </row>
    <row r="25" ht="15.75" customHeight="1">
      <c r="A25" s="32" t="s">
        <v>599</v>
      </c>
      <c r="B25" s="17" t="s">
        <v>689</v>
      </c>
      <c r="C25" s="16" t="s">
        <v>690</v>
      </c>
      <c r="D25" s="17" t="s">
        <v>691</v>
      </c>
      <c r="E25" s="8" t="s">
        <v>604</v>
      </c>
      <c r="F25" s="20" t="s">
        <v>692</v>
      </c>
    </row>
    <row r="26" ht="15.75" customHeight="1">
      <c r="A26" s="32" t="s">
        <v>599</v>
      </c>
      <c r="B26" s="17" t="s">
        <v>693</v>
      </c>
      <c r="C26" s="16" t="s">
        <v>66</v>
      </c>
      <c r="D26" s="17" t="s">
        <v>694</v>
      </c>
      <c r="E26" s="16" t="s">
        <v>695</v>
      </c>
      <c r="F26" s="20" t="s">
        <v>696</v>
      </c>
    </row>
    <row r="27" ht="15.75" customHeight="1">
      <c r="A27" s="32" t="s">
        <v>599</v>
      </c>
      <c r="B27" s="17" t="s">
        <v>697</v>
      </c>
      <c r="C27" s="16" t="s">
        <v>68</v>
      </c>
      <c r="D27" s="17" t="s">
        <v>698</v>
      </c>
      <c r="E27" s="16" t="s">
        <v>695</v>
      </c>
      <c r="F27" s="20" t="s">
        <v>699</v>
      </c>
    </row>
    <row r="28" ht="15.75" customHeight="1">
      <c r="A28" s="32" t="s">
        <v>700</v>
      </c>
      <c r="B28" s="17" t="s">
        <v>701</v>
      </c>
      <c r="C28" s="16" t="s">
        <v>68</v>
      </c>
      <c r="D28" s="17" t="s">
        <v>702</v>
      </c>
      <c r="E28" s="16" t="s">
        <v>604</v>
      </c>
      <c r="F28" s="20" t="s">
        <v>703</v>
      </c>
    </row>
    <row r="29" ht="15.75" customHeight="1">
      <c r="A29" s="32" t="s">
        <v>700</v>
      </c>
      <c r="B29" s="17" t="s">
        <v>705</v>
      </c>
      <c r="C29" s="16" t="s">
        <v>706</v>
      </c>
      <c r="D29" s="17" t="s">
        <v>707</v>
      </c>
      <c r="E29" s="16" t="s">
        <v>604</v>
      </c>
      <c r="F29" s="20" t="s">
        <v>708</v>
      </c>
    </row>
    <row r="30" ht="15.75" customHeight="1">
      <c r="A30" s="32" t="s">
        <v>700</v>
      </c>
      <c r="B30" s="17" t="s">
        <v>710</v>
      </c>
      <c r="C30" s="16" t="s">
        <v>68</v>
      </c>
      <c r="D30" s="17" t="s">
        <v>711</v>
      </c>
      <c r="E30" s="16" t="s">
        <v>615</v>
      </c>
      <c r="F30" s="20" t="s">
        <v>712</v>
      </c>
    </row>
    <row r="31" ht="15.75" customHeight="1">
      <c r="A31" s="32" t="s">
        <v>700</v>
      </c>
      <c r="B31" s="17" t="s">
        <v>713</v>
      </c>
      <c r="C31" s="16" t="s">
        <v>68</v>
      </c>
      <c r="D31" s="17" t="s">
        <v>715</v>
      </c>
      <c r="E31" s="16" t="s">
        <v>610</v>
      </c>
      <c r="F31" s="20" t="s">
        <v>716</v>
      </c>
    </row>
    <row r="32" ht="15.75" customHeight="1">
      <c r="A32" s="32" t="s">
        <v>700</v>
      </c>
      <c r="B32" s="17" t="s">
        <v>717</v>
      </c>
      <c r="C32" s="16" t="s">
        <v>68</v>
      </c>
      <c r="D32" s="17" t="s">
        <v>718</v>
      </c>
      <c r="E32" s="16" t="s">
        <v>610</v>
      </c>
      <c r="F32" s="20" t="s">
        <v>720</v>
      </c>
    </row>
    <row r="33" ht="15.75" customHeight="1">
      <c r="A33" s="32" t="s">
        <v>700</v>
      </c>
      <c r="B33" s="17" t="s">
        <v>721</v>
      </c>
      <c r="C33" s="16" t="s">
        <v>68</v>
      </c>
      <c r="D33" s="17" t="s">
        <v>723</v>
      </c>
      <c r="E33" s="16" t="s">
        <v>610</v>
      </c>
      <c r="F33" s="20" t="s">
        <v>724</v>
      </c>
    </row>
    <row r="34" ht="15.75" customHeight="1">
      <c r="A34" s="32" t="s">
        <v>700</v>
      </c>
      <c r="B34" s="17" t="s">
        <v>725</v>
      </c>
      <c r="C34" s="16" t="s">
        <v>68</v>
      </c>
      <c r="D34" s="17" t="s">
        <v>726</v>
      </c>
      <c r="E34" s="16" t="s">
        <v>610</v>
      </c>
      <c r="F34" s="20" t="s">
        <v>727</v>
      </c>
    </row>
    <row r="35" ht="15.75" customHeight="1">
      <c r="A35" s="32" t="s">
        <v>700</v>
      </c>
      <c r="B35" s="17" t="s">
        <v>728</v>
      </c>
      <c r="C35" s="16" t="s">
        <v>68</v>
      </c>
      <c r="D35" s="17" t="s">
        <v>729</v>
      </c>
      <c r="E35" s="16" t="s">
        <v>610</v>
      </c>
      <c r="F35" s="20" t="s">
        <v>730</v>
      </c>
    </row>
    <row r="36" ht="15.75" customHeight="1">
      <c r="A36" s="32" t="s">
        <v>700</v>
      </c>
      <c r="B36" s="17" t="s">
        <v>731</v>
      </c>
      <c r="C36" s="16" t="s">
        <v>68</v>
      </c>
      <c r="D36" s="17" t="s">
        <v>732</v>
      </c>
      <c r="E36" s="16" t="s">
        <v>610</v>
      </c>
      <c r="F36" s="20" t="s">
        <v>733</v>
      </c>
    </row>
    <row r="37" ht="15.75" customHeight="1">
      <c r="A37" s="32" t="s">
        <v>700</v>
      </c>
      <c r="B37" s="17" t="s">
        <v>734</v>
      </c>
      <c r="C37" s="16" t="s">
        <v>68</v>
      </c>
      <c r="D37" s="17" t="s">
        <v>735</v>
      </c>
      <c r="E37" s="16" t="s">
        <v>610</v>
      </c>
      <c r="F37" s="20" t="s">
        <v>737</v>
      </c>
    </row>
    <row r="38" ht="15.75" customHeight="1">
      <c r="A38" s="32" t="s">
        <v>700</v>
      </c>
      <c r="B38" s="17" t="s">
        <v>738</v>
      </c>
      <c r="C38" s="16" t="s">
        <v>66</v>
      </c>
      <c r="D38" s="17" t="s">
        <v>740</v>
      </c>
      <c r="E38" s="16" t="s">
        <v>741</v>
      </c>
      <c r="F38" s="20" t="s">
        <v>743</v>
      </c>
    </row>
    <row r="39" ht="15.75" customHeight="1">
      <c r="A39" s="32" t="s">
        <v>700</v>
      </c>
      <c r="B39" s="17" t="s">
        <v>744</v>
      </c>
      <c r="C39" s="16" t="s">
        <v>66</v>
      </c>
      <c r="D39" s="17" t="s">
        <v>745</v>
      </c>
      <c r="E39" s="16" t="s">
        <v>741</v>
      </c>
      <c r="F39" s="20" t="s">
        <v>746</v>
      </c>
    </row>
    <row r="40" ht="15.75" customHeight="1">
      <c r="A40" s="32" t="s">
        <v>700</v>
      </c>
      <c r="B40" s="17" t="s">
        <v>747</v>
      </c>
      <c r="C40" s="16" t="s">
        <v>678</v>
      </c>
      <c r="D40" s="17" t="s">
        <v>748</v>
      </c>
      <c r="E40" s="16" t="s">
        <v>695</v>
      </c>
      <c r="F40" s="20" t="s">
        <v>749</v>
      </c>
    </row>
    <row r="41" ht="15.75" customHeight="1">
      <c r="A41" s="32" t="s">
        <v>700</v>
      </c>
      <c r="B41" s="17" t="s">
        <v>751</v>
      </c>
      <c r="C41" s="16" t="s">
        <v>706</v>
      </c>
      <c r="D41" s="17" t="s">
        <v>752</v>
      </c>
      <c r="E41" s="16" t="s">
        <v>695</v>
      </c>
      <c r="F41" s="20" t="s">
        <v>753</v>
      </c>
    </row>
    <row r="42" ht="15.75" customHeight="1">
      <c r="A42" s="32" t="s">
        <v>700</v>
      </c>
      <c r="B42" s="17" t="s">
        <v>755</v>
      </c>
      <c r="C42" s="16" t="s">
        <v>68</v>
      </c>
      <c r="D42" s="17" t="s">
        <v>756</v>
      </c>
      <c r="E42" s="16" t="s">
        <v>695</v>
      </c>
      <c r="F42" s="20" t="s">
        <v>699</v>
      </c>
    </row>
    <row r="43" ht="15.75" customHeight="1">
      <c r="A43" s="32" t="s">
        <v>758</v>
      </c>
      <c r="B43" s="17" t="s">
        <v>759</v>
      </c>
      <c r="C43" s="16" t="s">
        <v>68</v>
      </c>
      <c r="D43" s="17" t="s">
        <v>760</v>
      </c>
      <c r="E43" s="16" t="s">
        <v>604</v>
      </c>
      <c r="F43" s="20" t="s">
        <v>761</v>
      </c>
    </row>
    <row r="44" ht="15.75" customHeight="1">
      <c r="A44" s="32" t="s">
        <v>758</v>
      </c>
      <c r="B44" s="17" t="s">
        <v>600</v>
      </c>
      <c r="C44" s="16" t="s">
        <v>763</v>
      </c>
      <c r="D44" s="17" t="s">
        <v>764</v>
      </c>
      <c r="E44" s="16" t="s">
        <v>604</v>
      </c>
      <c r="F44" s="20" t="s">
        <v>765</v>
      </c>
    </row>
    <row r="45" ht="15.75" customHeight="1">
      <c r="A45" s="32" t="s">
        <v>758</v>
      </c>
      <c r="B45" s="17" t="s">
        <v>701</v>
      </c>
      <c r="C45" s="16" t="s">
        <v>763</v>
      </c>
      <c r="D45" s="17" t="s">
        <v>767</v>
      </c>
      <c r="E45" s="16" t="s">
        <v>604</v>
      </c>
      <c r="F45" s="20" t="s">
        <v>768</v>
      </c>
    </row>
    <row r="46" ht="15.75" customHeight="1">
      <c r="A46" s="32" t="s">
        <v>758</v>
      </c>
      <c r="B46" s="17" t="s">
        <v>769</v>
      </c>
      <c r="C46" s="16" t="s">
        <v>706</v>
      </c>
      <c r="D46" s="17" t="s">
        <v>770</v>
      </c>
      <c r="E46" s="16" t="s">
        <v>604</v>
      </c>
      <c r="F46" s="20" t="s">
        <v>771</v>
      </c>
    </row>
    <row r="47" ht="15.75" customHeight="1">
      <c r="A47" s="32" t="s">
        <v>758</v>
      </c>
      <c r="B47" s="17" t="s">
        <v>772</v>
      </c>
      <c r="C47" s="16" t="s">
        <v>68</v>
      </c>
      <c r="D47" s="17" t="s">
        <v>773</v>
      </c>
      <c r="E47" s="16" t="s">
        <v>695</v>
      </c>
      <c r="F47" s="20" t="s">
        <v>774</v>
      </c>
    </row>
    <row r="48" ht="15.75" customHeight="1">
      <c r="A48" s="32" t="s">
        <v>758</v>
      </c>
      <c r="B48" s="17" t="s">
        <v>776</v>
      </c>
      <c r="C48" s="16" t="s">
        <v>357</v>
      </c>
      <c r="D48" s="17" t="s">
        <v>777</v>
      </c>
      <c r="E48" s="16" t="s">
        <v>610</v>
      </c>
      <c r="F48" s="20" t="s">
        <v>778</v>
      </c>
    </row>
    <row r="49" ht="15.75" customHeight="1">
      <c r="A49" s="32" t="s">
        <v>758</v>
      </c>
      <c r="B49" s="17" t="s">
        <v>779</v>
      </c>
      <c r="C49" s="16" t="s">
        <v>357</v>
      </c>
      <c r="D49" s="17" t="s">
        <v>780</v>
      </c>
      <c r="E49" s="16" t="s">
        <v>610</v>
      </c>
      <c r="F49" s="20" t="s">
        <v>781</v>
      </c>
    </row>
    <row r="50" ht="15.75" customHeight="1">
      <c r="A50" s="32" t="s">
        <v>758</v>
      </c>
      <c r="B50" s="17" t="s">
        <v>782</v>
      </c>
      <c r="C50" s="16" t="s">
        <v>357</v>
      </c>
      <c r="D50" s="17" t="s">
        <v>783</v>
      </c>
      <c r="E50" s="16" t="s">
        <v>610</v>
      </c>
      <c r="F50" s="20" t="s">
        <v>784</v>
      </c>
    </row>
    <row r="51" ht="15.75" customHeight="1">
      <c r="A51" s="32" t="s">
        <v>758</v>
      </c>
      <c r="B51" s="17" t="s">
        <v>785</v>
      </c>
      <c r="C51" s="16" t="s">
        <v>669</v>
      </c>
      <c r="D51" s="17" t="s">
        <v>786</v>
      </c>
      <c r="E51" s="16" t="s">
        <v>610</v>
      </c>
      <c r="F51" s="20" t="s">
        <v>787</v>
      </c>
    </row>
    <row r="52" ht="15.75" customHeight="1">
      <c r="A52" s="32" t="s">
        <v>758</v>
      </c>
      <c r="B52" s="17" t="s">
        <v>788</v>
      </c>
      <c r="C52" s="16" t="s">
        <v>68</v>
      </c>
      <c r="D52" s="17" t="s">
        <v>789</v>
      </c>
      <c r="E52" s="16" t="s">
        <v>695</v>
      </c>
      <c r="F52" s="20" t="s">
        <v>790</v>
      </c>
    </row>
    <row r="53" ht="15.75" customHeight="1">
      <c r="A53" s="32" t="s">
        <v>758</v>
      </c>
      <c r="B53" s="17" t="s">
        <v>791</v>
      </c>
      <c r="C53" s="16" t="s">
        <v>68</v>
      </c>
      <c r="D53" s="17" t="s">
        <v>792</v>
      </c>
      <c r="E53" s="16" t="s">
        <v>695</v>
      </c>
      <c r="F53" s="20" t="s">
        <v>793</v>
      </c>
    </row>
    <row r="54" ht="15.75" customHeight="1">
      <c r="A54" s="32" t="s">
        <v>758</v>
      </c>
      <c r="B54" s="17" t="s">
        <v>794</v>
      </c>
      <c r="C54" s="16" t="s">
        <v>68</v>
      </c>
      <c r="D54" s="17" t="s">
        <v>795</v>
      </c>
      <c r="E54" s="16" t="s">
        <v>695</v>
      </c>
      <c r="F54" s="20" t="s">
        <v>796</v>
      </c>
    </row>
    <row r="55" ht="15.75" customHeight="1">
      <c r="A55" s="32" t="s">
        <v>797</v>
      </c>
      <c r="B55" s="17" t="s">
        <v>798</v>
      </c>
      <c r="C55" s="16" t="s">
        <v>68</v>
      </c>
      <c r="D55" s="17" t="s">
        <v>799</v>
      </c>
      <c r="E55" s="16" t="s">
        <v>604</v>
      </c>
      <c r="F55" s="20" t="s">
        <v>800</v>
      </c>
    </row>
    <row r="56" ht="15.75" customHeight="1">
      <c r="A56" s="32" t="s">
        <v>797</v>
      </c>
      <c r="B56" s="17" t="s">
        <v>701</v>
      </c>
      <c r="C56" s="16" t="s">
        <v>763</v>
      </c>
      <c r="D56" s="17" t="s">
        <v>801</v>
      </c>
      <c r="E56" s="16" t="s">
        <v>604</v>
      </c>
      <c r="F56" s="20" t="s">
        <v>802</v>
      </c>
    </row>
    <row r="57" ht="15.75" customHeight="1">
      <c r="A57" s="32" t="s">
        <v>797</v>
      </c>
      <c r="B57" s="17" t="s">
        <v>803</v>
      </c>
      <c r="C57" s="16" t="s">
        <v>706</v>
      </c>
      <c r="D57" s="17" t="s">
        <v>804</v>
      </c>
      <c r="E57" s="16" t="s">
        <v>604</v>
      </c>
      <c r="F57" s="20" t="s">
        <v>805</v>
      </c>
    </row>
    <row r="58" ht="15.75" customHeight="1">
      <c r="A58" s="32" t="s">
        <v>797</v>
      </c>
      <c r="B58" s="17" t="s">
        <v>806</v>
      </c>
      <c r="C58" s="16" t="s">
        <v>68</v>
      </c>
      <c r="D58" s="17" t="s">
        <v>807</v>
      </c>
      <c r="E58" s="16" t="s">
        <v>604</v>
      </c>
      <c r="F58" s="20" t="s">
        <v>808</v>
      </c>
    </row>
    <row r="59" ht="15.75" customHeight="1">
      <c r="A59" s="32" t="s">
        <v>797</v>
      </c>
      <c r="B59" s="17" t="s">
        <v>809</v>
      </c>
      <c r="C59" s="16" t="s">
        <v>68</v>
      </c>
      <c r="D59" s="17" t="s">
        <v>810</v>
      </c>
      <c r="E59" s="16" t="s">
        <v>604</v>
      </c>
      <c r="F59" s="20" t="s">
        <v>811</v>
      </c>
    </row>
    <row r="60" ht="15.75" customHeight="1">
      <c r="A60" s="32" t="s">
        <v>797</v>
      </c>
      <c r="B60" s="17" t="s">
        <v>812</v>
      </c>
      <c r="C60" s="16" t="s">
        <v>68</v>
      </c>
      <c r="D60" s="17" t="s">
        <v>813</v>
      </c>
      <c r="E60" s="16" t="s">
        <v>610</v>
      </c>
      <c r="F60" s="20" t="s">
        <v>644</v>
      </c>
    </row>
    <row r="61" ht="15.75" customHeight="1">
      <c r="A61" s="32" t="s">
        <v>797</v>
      </c>
      <c r="B61" s="17" t="s">
        <v>814</v>
      </c>
      <c r="C61" s="16" t="s">
        <v>68</v>
      </c>
      <c r="D61" s="17" t="s">
        <v>815</v>
      </c>
      <c r="E61" s="16" t="s">
        <v>610</v>
      </c>
      <c r="F61" s="20" t="s">
        <v>816</v>
      </c>
    </row>
    <row r="62" ht="15.75" customHeight="1">
      <c r="A62" s="32" t="s">
        <v>797</v>
      </c>
      <c r="B62" s="17" t="s">
        <v>817</v>
      </c>
      <c r="C62" s="16" t="s">
        <v>706</v>
      </c>
      <c r="D62" s="17" t="s">
        <v>818</v>
      </c>
      <c r="E62" s="16" t="s">
        <v>604</v>
      </c>
      <c r="F62" s="20" t="s">
        <v>819</v>
      </c>
    </row>
    <row r="63" ht="15.75" customHeight="1">
      <c r="A63" s="32" t="s">
        <v>797</v>
      </c>
      <c r="B63" s="17" t="s">
        <v>820</v>
      </c>
      <c r="C63" s="16" t="s">
        <v>66</v>
      </c>
      <c r="D63" s="17" t="s">
        <v>822</v>
      </c>
      <c r="E63" s="16" t="s">
        <v>741</v>
      </c>
      <c r="F63" s="20" t="s">
        <v>823</v>
      </c>
    </row>
    <row r="64" ht="15.75" customHeight="1">
      <c r="A64" s="32" t="s">
        <v>797</v>
      </c>
      <c r="B64" s="17" t="s">
        <v>747</v>
      </c>
      <c r="C64" s="16" t="s">
        <v>678</v>
      </c>
      <c r="D64" s="17" t="s">
        <v>824</v>
      </c>
      <c r="E64" s="16" t="s">
        <v>695</v>
      </c>
      <c r="F64" s="20" t="s">
        <v>825</v>
      </c>
    </row>
    <row r="65" ht="15.75" customHeight="1">
      <c r="A65" s="32" t="s">
        <v>797</v>
      </c>
      <c r="B65" s="17" t="s">
        <v>826</v>
      </c>
      <c r="C65" s="16" t="s">
        <v>66</v>
      </c>
      <c r="D65" s="17" t="s">
        <v>827</v>
      </c>
      <c r="E65" s="16" t="s">
        <v>604</v>
      </c>
      <c r="F65" s="20" t="s">
        <v>828</v>
      </c>
    </row>
    <row r="66" ht="15.75" customHeight="1">
      <c r="A66" s="32" t="s">
        <v>829</v>
      </c>
      <c r="B66" s="17" t="s">
        <v>830</v>
      </c>
      <c r="C66" s="16" t="s">
        <v>68</v>
      </c>
      <c r="D66" s="17" t="s">
        <v>831</v>
      </c>
      <c r="E66" s="16" t="s">
        <v>604</v>
      </c>
      <c r="F66" s="20" t="s">
        <v>832</v>
      </c>
    </row>
    <row r="67" ht="15.75" customHeight="1">
      <c r="A67" s="32" t="s">
        <v>829</v>
      </c>
      <c r="B67" s="17" t="s">
        <v>833</v>
      </c>
      <c r="C67" s="16" t="s">
        <v>706</v>
      </c>
      <c r="D67" s="17" t="s">
        <v>834</v>
      </c>
      <c r="E67" s="16" t="s">
        <v>604</v>
      </c>
      <c r="F67" s="20"/>
    </row>
    <row r="68" ht="15.75" customHeight="1">
      <c r="A68" s="32" t="s">
        <v>829</v>
      </c>
      <c r="B68" s="17" t="s">
        <v>835</v>
      </c>
      <c r="C68" s="16" t="s">
        <v>68</v>
      </c>
      <c r="D68" s="17" t="s">
        <v>836</v>
      </c>
      <c r="E68" s="16" t="s">
        <v>604</v>
      </c>
      <c r="F68" s="20" t="s">
        <v>837</v>
      </c>
    </row>
    <row r="69" ht="15.75" customHeight="1">
      <c r="A69" s="32" t="s">
        <v>829</v>
      </c>
      <c r="B69" s="17" t="s">
        <v>838</v>
      </c>
      <c r="C69" s="16" t="s">
        <v>68</v>
      </c>
      <c r="D69" s="17" t="s">
        <v>839</v>
      </c>
      <c r="E69" s="16" t="s">
        <v>604</v>
      </c>
      <c r="F69" s="20"/>
    </row>
    <row r="70" ht="15.75" customHeight="1">
      <c r="A70" s="32" t="s">
        <v>829</v>
      </c>
      <c r="B70" s="17" t="s">
        <v>788</v>
      </c>
      <c r="C70" s="16" t="s">
        <v>68</v>
      </c>
      <c r="D70" s="17" t="s">
        <v>841</v>
      </c>
      <c r="E70" s="16" t="s">
        <v>604</v>
      </c>
      <c r="F70" s="20"/>
    </row>
    <row r="71" ht="15.75" customHeight="1">
      <c r="A71" s="32" t="s">
        <v>829</v>
      </c>
      <c r="B71" s="17" t="s">
        <v>791</v>
      </c>
      <c r="C71" s="16" t="s">
        <v>68</v>
      </c>
      <c r="D71" s="17" t="s">
        <v>842</v>
      </c>
      <c r="E71" s="16" t="s">
        <v>604</v>
      </c>
      <c r="F71" s="20"/>
    </row>
    <row r="72" ht="15.75" customHeight="1">
      <c r="A72" s="32" t="s">
        <v>829</v>
      </c>
      <c r="B72" s="17" t="s">
        <v>844</v>
      </c>
      <c r="C72" s="16" t="s">
        <v>68</v>
      </c>
      <c r="D72" s="17" t="s">
        <v>846</v>
      </c>
      <c r="E72" s="16" t="s">
        <v>604</v>
      </c>
      <c r="F72" s="20"/>
    </row>
    <row r="73" ht="15.75" customHeight="1">
      <c r="A73" s="32" t="s">
        <v>829</v>
      </c>
      <c r="B73" s="17" t="s">
        <v>794</v>
      </c>
      <c r="C73" s="16" t="s">
        <v>68</v>
      </c>
      <c r="D73" s="17" t="s">
        <v>848</v>
      </c>
      <c r="E73" s="16" t="s">
        <v>610</v>
      </c>
      <c r="F73" s="20"/>
    </row>
    <row r="74" ht="15.75" customHeight="1">
      <c r="A74" s="32" t="s">
        <v>829</v>
      </c>
      <c r="B74" s="17" t="s">
        <v>806</v>
      </c>
      <c r="C74" s="16" t="s">
        <v>68</v>
      </c>
      <c r="D74" s="17" t="s">
        <v>850</v>
      </c>
      <c r="E74" s="16" t="s">
        <v>604</v>
      </c>
      <c r="F74" s="20" t="s">
        <v>851</v>
      </c>
    </row>
    <row r="75" ht="15.75" customHeight="1">
      <c r="A75" s="32" t="s">
        <v>829</v>
      </c>
      <c r="B75" s="17" t="s">
        <v>809</v>
      </c>
      <c r="C75" s="16" t="s">
        <v>68</v>
      </c>
      <c r="D75" s="17" t="s">
        <v>854</v>
      </c>
      <c r="E75" s="16" t="s">
        <v>610</v>
      </c>
      <c r="F75" s="20"/>
    </row>
    <row r="76" ht="15.75" customHeight="1">
      <c r="A76" s="32" t="s">
        <v>829</v>
      </c>
      <c r="B76" s="17" t="s">
        <v>856</v>
      </c>
      <c r="C76" s="16" t="s">
        <v>68</v>
      </c>
      <c r="D76" s="17" t="s">
        <v>857</v>
      </c>
      <c r="E76" s="16" t="s">
        <v>610</v>
      </c>
      <c r="F76" s="20"/>
    </row>
    <row r="77" ht="15.75" customHeight="1">
      <c r="A77" s="33" t="s">
        <v>829</v>
      </c>
      <c r="B77" s="22" t="s">
        <v>861</v>
      </c>
      <c r="C77" s="24" t="s">
        <v>706</v>
      </c>
      <c r="D77" s="22" t="s">
        <v>863</v>
      </c>
      <c r="E77" s="24" t="s">
        <v>604</v>
      </c>
      <c r="F77" s="26" t="s">
        <v>866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734906F-666E-438F-B157-2D748F22433D}" filter="1" showAutoFilter="1">
      <autoFilter ref="$A$4:$F$77"/>
    </customSheetView>
  </customSheetViews>
  <mergeCells count="2">
    <mergeCell ref="A1:F1"/>
    <mergeCell ref="A2:F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18.0"/>
    <col customWidth="1" min="3" max="3" width="62.0"/>
    <col customWidth="1" min="4" max="4" width="16.0"/>
    <col customWidth="1" min="5" max="5" width="38.0"/>
    <col customWidth="1" min="6" max="6" width="22.0"/>
    <col customWidth="1" min="7" max="26" width="8.63"/>
  </cols>
  <sheetData>
    <row r="1" ht="31.5" customHeight="1">
      <c r="A1" s="1" t="s">
        <v>933</v>
      </c>
    </row>
    <row r="2" ht="33.75" customHeight="1">
      <c r="A2" s="2" t="s">
        <v>934</v>
      </c>
    </row>
    <row r="4" ht="30.0" customHeight="1">
      <c r="A4" s="3" t="s">
        <v>936</v>
      </c>
      <c r="B4" s="3" t="s">
        <v>938</v>
      </c>
      <c r="C4" s="3" t="s">
        <v>939</v>
      </c>
      <c r="D4" s="3" t="s">
        <v>940</v>
      </c>
      <c r="E4" s="3" t="s">
        <v>941</v>
      </c>
      <c r="F4" s="3" t="s">
        <v>24</v>
      </c>
    </row>
    <row r="5">
      <c r="A5" s="7" t="s">
        <v>943</v>
      </c>
      <c r="B5" s="8" t="s">
        <v>944</v>
      </c>
      <c r="C5" s="10" t="s">
        <v>945</v>
      </c>
      <c r="D5" s="8" t="s">
        <v>947</v>
      </c>
      <c r="E5" s="10" t="s">
        <v>948</v>
      </c>
      <c r="F5" s="12" t="s">
        <v>69</v>
      </c>
    </row>
    <row r="6">
      <c r="A6" s="14" t="s">
        <v>950</v>
      </c>
      <c r="B6" s="16" t="s">
        <v>93</v>
      </c>
      <c r="C6" s="17" t="s">
        <v>952</v>
      </c>
      <c r="D6" s="16" t="s">
        <v>947</v>
      </c>
      <c r="E6" s="17" t="s">
        <v>953</v>
      </c>
      <c r="F6" s="20" t="s">
        <v>69</v>
      </c>
    </row>
    <row r="7">
      <c r="A7" s="14" t="s">
        <v>957</v>
      </c>
      <c r="B7" s="16" t="s">
        <v>958</v>
      </c>
      <c r="C7" s="17" t="s">
        <v>960</v>
      </c>
      <c r="D7" s="16" t="s">
        <v>961</v>
      </c>
      <c r="E7" s="17" t="s">
        <v>962</v>
      </c>
      <c r="F7" s="20" t="s">
        <v>69</v>
      </c>
    </row>
    <row r="8">
      <c r="A8" s="14" t="s">
        <v>964</v>
      </c>
      <c r="B8" s="16" t="s">
        <v>966</v>
      </c>
      <c r="C8" s="17" t="s">
        <v>968</v>
      </c>
      <c r="D8" s="16" t="s">
        <v>969</v>
      </c>
      <c r="E8" s="17" t="s">
        <v>971</v>
      </c>
      <c r="F8" s="20" t="s">
        <v>69</v>
      </c>
    </row>
    <row r="9">
      <c r="A9" s="14" t="s">
        <v>973</v>
      </c>
      <c r="B9" s="16" t="s">
        <v>974</v>
      </c>
      <c r="C9" s="17" t="s">
        <v>975</v>
      </c>
      <c r="D9" s="16" t="s">
        <v>969</v>
      </c>
      <c r="E9" s="17" t="s">
        <v>976</v>
      </c>
      <c r="F9" s="20" t="s">
        <v>136</v>
      </c>
    </row>
    <row r="10">
      <c r="A10" s="14" t="s">
        <v>980</v>
      </c>
      <c r="B10" s="16" t="s">
        <v>981</v>
      </c>
      <c r="C10" s="17" t="s">
        <v>982</v>
      </c>
      <c r="D10" s="16" t="s">
        <v>969</v>
      </c>
      <c r="E10" s="17" t="s">
        <v>984</v>
      </c>
      <c r="F10" s="20" t="s">
        <v>136</v>
      </c>
    </row>
    <row r="11">
      <c r="A11" s="14" t="s">
        <v>985</v>
      </c>
      <c r="B11" s="16" t="s">
        <v>986</v>
      </c>
      <c r="C11" s="17" t="s">
        <v>987</v>
      </c>
      <c r="D11" s="16" t="s">
        <v>969</v>
      </c>
      <c r="E11" s="17" t="s">
        <v>989</v>
      </c>
      <c r="F11" s="20" t="s">
        <v>136</v>
      </c>
    </row>
    <row r="12">
      <c r="A12" s="14" t="s">
        <v>991</v>
      </c>
      <c r="B12" s="16" t="s">
        <v>176</v>
      </c>
      <c r="C12" s="17" t="s">
        <v>993</v>
      </c>
      <c r="D12" s="16" t="s">
        <v>994</v>
      </c>
      <c r="E12" s="17" t="s">
        <v>995</v>
      </c>
      <c r="F12" s="20" t="s">
        <v>136</v>
      </c>
    </row>
    <row r="13">
      <c r="A13" s="14" t="s">
        <v>996</v>
      </c>
      <c r="B13" s="16" t="s">
        <v>997</v>
      </c>
      <c r="C13" s="17" t="s">
        <v>998</v>
      </c>
      <c r="D13" s="16" t="s">
        <v>969</v>
      </c>
      <c r="E13" s="17" t="s">
        <v>1000</v>
      </c>
      <c r="F13" s="20" t="s">
        <v>1002</v>
      </c>
    </row>
    <row r="14">
      <c r="A14" s="14" t="s">
        <v>1003</v>
      </c>
      <c r="B14" s="16" t="s">
        <v>1004</v>
      </c>
      <c r="C14" s="17" t="s">
        <v>1005</v>
      </c>
      <c r="D14" s="16" t="s">
        <v>947</v>
      </c>
      <c r="E14" s="17" t="s">
        <v>1006</v>
      </c>
      <c r="F14" s="20" t="s">
        <v>69</v>
      </c>
    </row>
    <row r="15">
      <c r="A15" s="21" t="s">
        <v>1007</v>
      </c>
      <c r="B15" s="24" t="s">
        <v>1009</v>
      </c>
      <c r="C15" s="22" t="s">
        <v>1011</v>
      </c>
      <c r="D15" s="24" t="s">
        <v>969</v>
      </c>
      <c r="E15" s="22" t="s">
        <v>1013</v>
      </c>
      <c r="F15" s="26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1CA52A6-6071-4FDE-A5B8-5D2AB13D87FF}" filter="1" showAutoFilter="1">
      <autoFilter ref="$A$4:$F$15"/>
    </customSheetView>
  </customSheetViews>
  <mergeCells count="2">
    <mergeCell ref="A1:F1"/>
    <mergeCell ref="A2:F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23.0"/>
    <col customWidth="1" min="3" max="3" width="58.0"/>
    <col customWidth="1" min="4" max="4" width="52.0"/>
    <col customWidth="1" min="5" max="5" width="28.0"/>
    <col customWidth="1" min="6" max="26" width="8.63"/>
  </cols>
  <sheetData>
    <row r="1" ht="31.5" customHeight="1">
      <c r="A1" s="1" t="s">
        <v>1053</v>
      </c>
    </row>
    <row r="2" ht="33.75" customHeight="1">
      <c r="A2" s="2" t="s">
        <v>1056</v>
      </c>
    </row>
    <row r="4" ht="30.0" customHeight="1">
      <c r="A4" s="3" t="s">
        <v>1057</v>
      </c>
      <c r="B4" s="3" t="s">
        <v>1058</v>
      </c>
      <c r="C4" s="3" t="s">
        <v>21</v>
      </c>
      <c r="D4" s="3" t="s">
        <v>1060</v>
      </c>
      <c r="E4" s="3" t="s">
        <v>1061</v>
      </c>
    </row>
    <row r="5">
      <c r="A5" s="7" t="s">
        <v>1062</v>
      </c>
      <c r="B5" s="10" t="s">
        <v>1063</v>
      </c>
      <c r="C5" s="10" t="s">
        <v>1064</v>
      </c>
      <c r="D5" s="10" t="s">
        <v>1066</v>
      </c>
      <c r="E5" s="12" t="s">
        <v>1067</v>
      </c>
    </row>
    <row r="6">
      <c r="A6" s="14" t="s">
        <v>1062</v>
      </c>
      <c r="B6" s="17" t="s">
        <v>1068</v>
      </c>
      <c r="C6" s="17" t="s">
        <v>1069</v>
      </c>
      <c r="D6" s="17" t="s">
        <v>1070</v>
      </c>
      <c r="E6" s="20" t="s">
        <v>1072</v>
      </c>
    </row>
    <row r="7">
      <c r="A7" s="14" t="s">
        <v>1062</v>
      </c>
      <c r="B7" s="17" t="s">
        <v>1074</v>
      </c>
      <c r="C7" s="17" t="s">
        <v>1075</v>
      </c>
      <c r="D7" s="17" t="s">
        <v>1076</v>
      </c>
      <c r="E7" s="20" t="s">
        <v>1077</v>
      </c>
    </row>
    <row r="8">
      <c r="A8" s="14" t="s">
        <v>1079</v>
      </c>
      <c r="B8" s="17" t="s">
        <v>1063</v>
      </c>
      <c r="C8" s="17" t="s">
        <v>1080</v>
      </c>
      <c r="D8" s="17" t="s">
        <v>1082</v>
      </c>
      <c r="E8" s="20" t="s">
        <v>1085</v>
      </c>
    </row>
    <row r="9">
      <c r="A9" s="14" t="s">
        <v>1079</v>
      </c>
      <c r="B9" s="17" t="s">
        <v>1068</v>
      </c>
      <c r="C9" s="17" t="s">
        <v>1087</v>
      </c>
      <c r="D9" s="17" t="s">
        <v>1089</v>
      </c>
      <c r="E9" s="20" t="s">
        <v>1072</v>
      </c>
    </row>
    <row r="10">
      <c r="A10" s="14" t="s">
        <v>1079</v>
      </c>
      <c r="B10" s="17" t="s">
        <v>1074</v>
      </c>
      <c r="C10" s="17" t="s">
        <v>1091</v>
      </c>
      <c r="D10" s="17" t="s">
        <v>1092</v>
      </c>
      <c r="E10" s="20" t="s">
        <v>1093</v>
      </c>
    </row>
    <row r="11">
      <c r="A11" s="14" t="s">
        <v>1095</v>
      </c>
      <c r="B11" s="17" t="s">
        <v>1063</v>
      </c>
      <c r="C11" s="17" t="s">
        <v>1096</v>
      </c>
      <c r="D11" s="17" t="s">
        <v>1097</v>
      </c>
      <c r="E11" s="20" t="s">
        <v>1085</v>
      </c>
    </row>
    <row r="12">
      <c r="A12" s="14" t="s">
        <v>1095</v>
      </c>
      <c r="B12" s="17" t="s">
        <v>1068</v>
      </c>
      <c r="C12" s="17" t="s">
        <v>1099</v>
      </c>
      <c r="D12" s="17" t="s">
        <v>1100</v>
      </c>
      <c r="E12" s="20" t="s">
        <v>1072</v>
      </c>
    </row>
    <row r="13">
      <c r="A13" s="14" t="s">
        <v>974</v>
      </c>
      <c r="B13" s="17" t="s">
        <v>1101</v>
      </c>
      <c r="C13" s="17" t="s">
        <v>1102</v>
      </c>
      <c r="D13" s="17" t="s">
        <v>1103</v>
      </c>
      <c r="E13" s="20" t="s">
        <v>1104</v>
      </c>
    </row>
    <row r="14">
      <c r="A14" s="21" t="s">
        <v>966</v>
      </c>
      <c r="B14" s="22" t="s">
        <v>1101</v>
      </c>
      <c r="C14" s="22" t="s">
        <v>1105</v>
      </c>
      <c r="D14" s="22" t="s">
        <v>1106</v>
      </c>
      <c r="E14" s="26" t="s">
        <v>1104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4FC1B12-37F0-4759-B07E-1288F7F18CE6}" filter="1" showAutoFilter="1">
      <autoFilter ref="$A$4:$E$14"/>
    </customSheetView>
  </customSheetViews>
  <mergeCells count="2">
    <mergeCell ref="A1:E1"/>
    <mergeCell ref="A2:E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2" width="74.0"/>
    <col customWidth="1" min="3" max="3" width="42.0"/>
    <col customWidth="1" min="4" max="26" width="8.63"/>
  </cols>
  <sheetData>
    <row r="1" ht="31.5" customHeight="1">
      <c r="A1" s="1" t="s">
        <v>1160</v>
      </c>
    </row>
    <row r="2" ht="33.75" customHeight="1">
      <c r="A2" s="2" t="s">
        <v>1161</v>
      </c>
    </row>
    <row r="4" ht="30.0" customHeight="1">
      <c r="A4" s="3" t="s">
        <v>1163</v>
      </c>
      <c r="B4" s="3" t="s">
        <v>1164</v>
      </c>
      <c r="C4" s="3" t="s">
        <v>1165</v>
      </c>
    </row>
    <row r="5">
      <c r="A5" s="31" t="s">
        <v>1169</v>
      </c>
      <c r="B5" s="10" t="s">
        <v>1170</v>
      </c>
      <c r="C5" s="12" t="s">
        <v>1171</v>
      </c>
    </row>
    <row r="6">
      <c r="A6" s="32" t="s">
        <v>1173</v>
      </c>
      <c r="B6" s="17" t="s">
        <v>1174</v>
      </c>
      <c r="C6" s="20" t="s">
        <v>1175</v>
      </c>
    </row>
    <row r="7">
      <c r="A7" s="32" t="s">
        <v>1179</v>
      </c>
      <c r="B7" s="17" t="s">
        <v>1180</v>
      </c>
      <c r="C7" s="20" t="s">
        <v>1181</v>
      </c>
    </row>
    <row r="8">
      <c r="A8" s="32" t="s">
        <v>1182</v>
      </c>
      <c r="B8" s="17" t="s">
        <v>1183</v>
      </c>
      <c r="C8" s="20" t="s">
        <v>1185</v>
      </c>
    </row>
    <row r="9">
      <c r="A9" s="32" t="s">
        <v>1188</v>
      </c>
      <c r="B9" s="17" t="s">
        <v>1189</v>
      </c>
      <c r="C9" s="20" t="s">
        <v>1191</v>
      </c>
    </row>
    <row r="10">
      <c r="A10" s="33" t="s">
        <v>1193</v>
      </c>
      <c r="B10" s="22" t="s">
        <v>1194</v>
      </c>
      <c r="C10" s="26" t="s">
        <v>1195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3C2B33A-9799-4876-959A-E89A54693265}" filter="1" showAutoFilter="1">
      <autoFilter ref="$A$4:$C$10"/>
    </customSheetView>
  </customSheetViews>
  <mergeCells count="2">
    <mergeCell ref="A1:C1"/>
    <mergeCell ref="A2:C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28.0"/>
    <col customWidth="1" min="3" max="3" width="56.0"/>
    <col customWidth="1" min="4" max="4" width="52.0"/>
    <col customWidth="1" min="5" max="5" width="48.0"/>
    <col customWidth="1" min="6" max="26" width="8.63"/>
  </cols>
  <sheetData>
    <row r="1" ht="31.5" customHeight="1">
      <c r="A1" s="1" t="s">
        <v>1251</v>
      </c>
    </row>
    <row r="2" ht="33.75" customHeight="1">
      <c r="A2" s="2" t="s">
        <v>1253</v>
      </c>
    </row>
    <row r="4" ht="30.0" customHeight="1">
      <c r="A4" s="3" t="s">
        <v>1255</v>
      </c>
      <c r="B4" s="3" t="s">
        <v>1256</v>
      </c>
      <c r="C4" s="3" t="s">
        <v>1257</v>
      </c>
      <c r="D4" s="3" t="s">
        <v>1260</v>
      </c>
      <c r="E4" s="3" t="s">
        <v>1261</v>
      </c>
    </row>
    <row r="5">
      <c r="A5" s="34" t="s">
        <v>1264</v>
      </c>
      <c r="B5" s="10" t="s">
        <v>1270</v>
      </c>
      <c r="C5" s="10" t="s">
        <v>1271</v>
      </c>
      <c r="D5" s="10" t="s">
        <v>1272</v>
      </c>
      <c r="E5" s="12" t="s">
        <v>1273</v>
      </c>
    </row>
    <row r="6">
      <c r="A6" s="35" t="s">
        <v>1277</v>
      </c>
      <c r="B6" s="17" t="s">
        <v>1280</v>
      </c>
      <c r="C6" s="17" t="s">
        <v>1281</v>
      </c>
      <c r="D6" s="17" t="s">
        <v>1282</v>
      </c>
      <c r="E6" s="20" t="s">
        <v>1283</v>
      </c>
    </row>
    <row r="7">
      <c r="A7" s="35" t="s">
        <v>1284</v>
      </c>
      <c r="B7" s="17" t="s">
        <v>1286</v>
      </c>
      <c r="C7" s="17" t="s">
        <v>1288</v>
      </c>
      <c r="D7" s="17" t="s">
        <v>1290</v>
      </c>
      <c r="E7" s="20" t="s">
        <v>1291</v>
      </c>
    </row>
    <row r="8">
      <c r="A8" s="35" t="s">
        <v>1292</v>
      </c>
      <c r="B8" s="17" t="s">
        <v>1294</v>
      </c>
      <c r="C8" s="17" t="s">
        <v>1296</v>
      </c>
      <c r="D8" s="17" t="s">
        <v>1297</v>
      </c>
      <c r="E8" s="20" t="s">
        <v>1298</v>
      </c>
    </row>
    <row r="9">
      <c r="A9" s="35" t="s">
        <v>1299</v>
      </c>
      <c r="B9" s="17" t="s">
        <v>858</v>
      </c>
      <c r="C9" s="17" t="s">
        <v>1302</v>
      </c>
      <c r="D9" s="17" t="s">
        <v>1303</v>
      </c>
      <c r="E9" s="20" t="s">
        <v>1305</v>
      </c>
    </row>
    <row r="10">
      <c r="A10" s="35" t="s">
        <v>1307</v>
      </c>
      <c r="B10" s="17" t="s">
        <v>1308</v>
      </c>
      <c r="C10" s="17" t="s">
        <v>1309</v>
      </c>
      <c r="D10" s="17" t="s">
        <v>1311</v>
      </c>
      <c r="E10" s="20" t="s">
        <v>1313</v>
      </c>
    </row>
    <row r="11">
      <c r="A11" s="35" t="s">
        <v>1315</v>
      </c>
      <c r="B11" s="17" t="s">
        <v>1317</v>
      </c>
      <c r="C11" s="17" t="s">
        <v>1318</v>
      </c>
      <c r="D11" s="17" t="s">
        <v>1319</v>
      </c>
      <c r="E11" s="20" t="s">
        <v>1320</v>
      </c>
    </row>
    <row r="12">
      <c r="A12" s="35" t="s">
        <v>1322</v>
      </c>
      <c r="B12" s="17" t="s">
        <v>1323</v>
      </c>
      <c r="C12" s="17" t="s">
        <v>1325</v>
      </c>
      <c r="D12" s="17" t="s">
        <v>1327</v>
      </c>
      <c r="E12" s="20" t="s">
        <v>1328</v>
      </c>
    </row>
    <row r="13">
      <c r="A13" s="35" t="s">
        <v>1329</v>
      </c>
      <c r="B13" s="17" t="s">
        <v>1332</v>
      </c>
      <c r="C13" s="17" t="s">
        <v>1333</v>
      </c>
      <c r="D13" s="17" t="s">
        <v>1334</v>
      </c>
      <c r="E13" s="20" t="s">
        <v>1335</v>
      </c>
    </row>
    <row r="14">
      <c r="A14" s="35" t="s">
        <v>1336</v>
      </c>
      <c r="B14" s="17" t="s">
        <v>1337</v>
      </c>
      <c r="C14" s="17" t="s">
        <v>1340</v>
      </c>
      <c r="D14" s="17" t="s">
        <v>1342</v>
      </c>
      <c r="E14" s="20" t="s">
        <v>1343</v>
      </c>
    </row>
    <row r="15">
      <c r="A15" s="35" t="s">
        <v>1344</v>
      </c>
      <c r="B15" s="17" t="s">
        <v>1346</v>
      </c>
      <c r="C15" s="17" t="s">
        <v>1347</v>
      </c>
      <c r="D15" s="17" t="s">
        <v>1348</v>
      </c>
      <c r="E15" s="20" t="s">
        <v>1349</v>
      </c>
    </row>
    <row r="16">
      <c r="A16" s="36" t="s">
        <v>1350</v>
      </c>
      <c r="B16" s="22" t="s">
        <v>1353</v>
      </c>
      <c r="C16" s="22" t="s">
        <v>1355</v>
      </c>
      <c r="D16" s="22" t="s">
        <v>1357</v>
      </c>
      <c r="E16" s="26" t="s">
        <v>1358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C164B88-D1D7-4EE6-8825-625CBCAEEBC3}" filter="1" showAutoFilter="1">
      <autoFilter ref="$A$4:$E$16"/>
    </customSheetView>
  </customSheetViews>
  <mergeCells count="2">
    <mergeCell ref="A1:E1"/>
    <mergeCell ref="A2:E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5.0"/>
    <col customWidth="1" min="2" max="2" width="18.0"/>
    <col customWidth="1" min="3" max="3" width="68.0"/>
    <col customWidth="1" min="4" max="26" width="8.63"/>
  </cols>
  <sheetData>
    <row r="1" ht="31.5" customHeight="1">
      <c r="A1" s="1" t="s">
        <v>1384</v>
      </c>
    </row>
    <row r="2" ht="33.75" customHeight="1">
      <c r="A2" s="2" t="s">
        <v>1385</v>
      </c>
    </row>
    <row r="4" ht="30.0" customHeight="1">
      <c r="A4" s="3" t="s">
        <v>1386</v>
      </c>
      <c r="B4" s="4" t="s">
        <v>1387</v>
      </c>
      <c r="C4" s="3" t="s">
        <v>1388</v>
      </c>
    </row>
    <row r="5">
      <c r="A5" s="31" t="s">
        <v>1389</v>
      </c>
      <c r="B5" s="9">
        <v>4.0</v>
      </c>
      <c r="C5" s="12" t="s">
        <v>1391</v>
      </c>
    </row>
    <row r="6">
      <c r="A6" s="32" t="s">
        <v>1392</v>
      </c>
      <c r="B6" s="15">
        <v>31749.0</v>
      </c>
      <c r="C6" s="20" t="s">
        <v>1393</v>
      </c>
    </row>
    <row r="7">
      <c r="A7" s="32" t="s">
        <v>1394</v>
      </c>
      <c r="B7" s="15">
        <v>841.0</v>
      </c>
      <c r="C7" s="20" t="s">
        <v>1395</v>
      </c>
    </row>
    <row r="8">
      <c r="A8" s="32" t="s">
        <v>1396</v>
      </c>
      <c r="B8" s="15">
        <v>31746.0</v>
      </c>
      <c r="C8" s="20" t="s">
        <v>1397</v>
      </c>
    </row>
    <row r="9">
      <c r="A9" s="32" t="s">
        <v>1398</v>
      </c>
      <c r="B9" s="15">
        <v>11186.0</v>
      </c>
      <c r="C9" s="20" t="s">
        <v>1399</v>
      </c>
    </row>
    <row r="10">
      <c r="A10" s="32" t="s">
        <v>1400</v>
      </c>
      <c r="B10" s="15">
        <v>11103.0</v>
      </c>
      <c r="C10" s="20" t="s">
        <v>1401</v>
      </c>
    </row>
    <row r="11">
      <c r="A11" s="32" t="s">
        <v>1402</v>
      </c>
      <c r="B11" s="15">
        <v>20560.0</v>
      </c>
      <c r="C11" s="20" t="s">
        <v>1403</v>
      </c>
    </row>
    <row r="12">
      <c r="A12" s="32" t="s">
        <v>1405</v>
      </c>
      <c r="B12" s="15">
        <v>10544.0</v>
      </c>
      <c r="C12" s="20" t="s">
        <v>1406</v>
      </c>
    </row>
    <row r="13">
      <c r="A13" s="32" t="s">
        <v>1408</v>
      </c>
      <c r="B13" s="15">
        <v>31104.0</v>
      </c>
      <c r="C13" s="20" t="s">
        <v>1409</v>
      </c>
    </row>
    <row r="14">
      <c r="A14" s="32" t="s">
        <v>1410</v>
      </c>
      <c r="B14" s="15">
        <v>83.0</v>
      </c>
      <c r="C14" s="20" t="s">
        <v>1411</v>
      </c>
    </row>
    <row r="15">
      <c r="A15" s="32" t="s">
        <v>1412</v>
      </c>
      <c r="B15" s="15">
        <v>309.0</v>
      </c>
      <c r="C15" s="20" t="s">
        <v>1413</v>
      </c>
    </row>
    <row r="16">
      <c r="A16" s="32" t="s">
        <v>1414</v>
      </c>
      <c r="B16" s="15">
        <v>3.0</v>
      </c>
      <c r="C16" s="20" t="s">
        <v>1415</v>
      </c>
    </row>
    <row r="17">
      <c r="A17" s="32" t="s">
        <v>1416</v>
      </c>
      <c r="B17" s="15">
        <v>64301.0</v>
      </c>
      <c r="C17" s="20" t="s">
        <v>1417</v>
      </c>
    </row>
    <row r="18">
      <c r="A18" s="32" t="s">
        <v>1418</v>
      </c>
      <c r="B18" s="15">
        <v>6070.0</v>
      </c>
      <c r="C18" s="20" t="s">
        <v>1419</v>
      </c>
    </row>
    <row r="19">
      <c r="A19" s="32" t="s">
        <v>1420</v>
      </c>
      <c r="B19" s="15">
        <v>17197.0</v>
      </c>
      <c r="C19" s="20" t="s">
        <v>1421</v>
      </c>
    </row>
    <row r="20">
      <c r="A20" s="32" t="s">
        <v>1422</v>
      </c>
      <c r="B20" s="15">
        <v>11127.0</v>
      </c>
      <c r="C20" s="20" t="s">
        <v>1423</v>
      </c>
    </row>
    <row r="21" ht="15.75" customHeight="1">
      <c r="A21" s="32" t="s">
        <v>1424</v>
      </c>
      <c r="B21" s="15">
        <v>776.0</v>
      </c>
      <c r="C21" s="20" t="s">
        <v>1425</v>
      </c>
    </row>
    <row r="22" ht="15.75" customHeight="1">
      <c r="A22" s="32" t="s">
        <v>1426</v>
      </c>
      <c r="B22" s="15">
        <v>1985.0</v>
      </c>
      <c r="C22" s="20" t="s">
        <v>1427</v>
      </c>
    </row>
    <row r="23" ht="15.75" customHeight="1">
      <c r="A23" s="32" t="s">
        <v>1428</v>
      </c>
      <c r="B23" s="15">
        <v>5025.0</v>
      </c>
      <c r="C23" s="20" t="s">
        <v>1429</v>
      </c>
    </row>
    <row r="24" ht="15.75" customHeight="1">
      <c r="A24" s="32" t="s">
        <v>1430</v>
      </c>
      <c r="B24" s="15">
        <v>5580.0</v>
      </c>
      <c r="C24" s="20" t="s">
        <v>1431</v>
      </c>
    </row>
    <row r="25" ht="15.75" customHeight="1">
      <c r="A25" s="33" t="s">
        <v>1433</v>
      </c>
      <c r="B25" s="25">
        <v>10492.0</v>
      </c>
      <c r="C25" s="26" t="s">
        <v>1434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B5A0AFD-2187-4DDB-A0FB-31420272FF80}" filter="1" showAutoFilter="1">
      <autoFilter ref="$A$4:$C$25"/>
    </customSheetView>
  </customSheetViews>
  <mergeCells count="2">
    <mergeCell ref="A1:C1"/>
    <mergeCell ref="A2:C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0"/>
    <col customWidth="1" min="2" max="2" width="24.0"/>
    <col customWidth="1" min="3" max="3" width="66.0"/>
    <col customWidth="1" min="4" max="4" width="56.0"/>
    <col customWidth="1" min="5" max="26" width="8.63"/>
  </cols>
  <sheetData>
    <row r="1" ht="31.5" customHeight="1">
      <c r="A1" s="1" t="s">
        <v>1443</v>
      </c>
    </row>
    <row r="2" ht="33.75" customHeight="1">
      <c r="A2" s="2" t="s">
        <v>1444</v>
      </c>
    </row>
    <row r="4" ht="30.0" customHeight="1">
      <c r="A4" s="4" t="s">
        <v>1445</v>
      </c>
      <c r="B4" s="3" t="s">
        <v>1446</v>
      </c>
      <c r="C4" s="3" t="s">
        <v>1447</v>
      </c>
      <c r="D4" s="3" t="s">
        <v>1450</v>
      </c>
    </row>
    <row r="5">
      <c r="A5" s="37">
        <v>1.0</v>
      </c>
      <c r="B5" s="10" t="s">
        <v>1452</v>
      </c>
      <c r="C5" s="10" t="s">
        <v>1453</v>
      </c>
      <c r="D5" s="12" t="s">
        <v>1454</v>
      </c>
    </row>
    <row r="6">
      <c r="A6" s="38">
        <v>2.0</v>
      </c>
      <c r="B6" s="17" t="s">
        <v>1456</v>
      </c>
      <c r="C6" s="17" t="s">
        <v>1457</v>
      </c>
      <c r="D6" s="20" t="s">
        <v>1458</v>
      </c>
    </row>
    <row r="7">
      <c r="A7" s="38">
        <v>3.0</v>
      </c>
      <c r="B7" s="17" t="s">
        <v>1460</v>
      </c>
      <c r="C7" s="17" t="s">
        <v>1461</v>
      </c>
      <c r="D7" s="20" t="s">
        <v>1463</v>
      </c>
    </row>
    <row r="8">
      <c r="A8" s="38">
        <v>4.0</v>
      </c>
      <c r="B8" s="17" t="s">
        <v>1465</v>
      </c>
      <c r="C8" s="17" t="s">
        <v>1466</v>
      </c>
      <c r="D8" s="20" t="s">
        <v>1467</v>
      </c>
    </row>
    <row r="9">
      <c r="A9" s="38">
        <v>5.0</v>
      </c>
      <c r="B9" s="17" t="s">
        <v>1468</v>
      </c>
      <c r="C9" s="17" t="s">
        <v>1469</v>
      </c>
      <c r="D9" s="20" t="s">
        <v>1470</v>
      </c>
    </row>
    <row r="10">
      <c r="A10" s="38">
        <v>6.0</v>
      </c>
      <c r="B10" s="17" t="s">
        <v>1473</v>
      </c>
      <c r="C10" s="17" t="s">
        <v>1474</v>
      </c>
      <c r="D10" s="20" t="s">
        <v>1475</v>
      </c>
    </row>
    <row r="11">
      <c r="A11" s="38">
        <v>7.0</v>
      </c>
      <c r="B11" s="17" t="s">
        <v>1476</v>
      </c>
      <c r="C11" s="17" t="s">
        <v>1477</v>
      </c>
      <c r="D11" s="20" t="s">
        <v>1478</v>
      </c>
    </row>
    <row r="12">
      <c r="A12" s="38">
        <v>8.0</v>
      </c>
      <c r="B12" s="17" t="s">
        <v>1479</v>
      </c>
      <c r="C12" s="17" t="s">
        <v>1480</v>
      </c>
      <c r="D12" s="20" t="s">
        <v>1482</v>
      </c>
    </row>
    <row r="13">
      <c r="A13" s="38">
        <v>9.0</v>
      </c>
      <c r="B13" s="17" t="s">
        <v>1484</v>
      </c>
      <c r="C13" s="17" t="s">
        <v>1485</v>
      </c>
      <c r="D13" s="20" t="s">
        <v>1487</v>
      </c>
    </row>
    <row r="14">
      <c r="A14" s="39">
        <v>10.0</v>
      </c>
      <c r="B14" s="22" t="s">
        <v>1489</v>
      </c>
      <c r="C14" s="22" t="s">
        <v>1490</v>
      </c>
      <c r="D14" s="26" t="s">
        <v>1491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85B8B9B-9F27-4BF3-88FD-7EEB7BF38D34}" filter="1" showAutoFilter="1">
      <autoFilter ref="$A$4:$D$14"/>
    </customSheetView>
  </customSheetViews>
  <mergeCells count="2">
    <mergeCell ref="A1:D1"/>
    <mergeCell ref="A2:D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18.0"/>
    <col customWidth="1" min="3" max="3" width="40.0"/>
    <col customWidth="1" min="4" max="4" width="48.0"/>
    <col customWidth="1" min="5" max="5" width="28.0"/>
    <col customWidth="1" min="6" max="6" width="24.0"/>
    <col customWidth="1" min="7" max="7" width="38.0"/>
    <col customWidth="1" min="8" max="8" width="46.0"/>
    <col customWidth="1" min="9" max="9" width="28.0"/>
    <col customWidth="1" min="10" max="10" width="34.0"/>
    <col customWidth="1" min="11" max="11" width="54.0"/>
    <col customWidth="1" min="12" max="12" width="42.0"/>
    <col customWidth="1" min="13" max="26" width="8.63"/>
  </cols>
  <sheetData>
    <row r="1" ht="31.5" customHeight="1">
      <c r="A1" s="1" t="s">
        <v>1511</v>
      </c>
    </row>
    <row r="2" ht="33.75" customHeight="1">
      <c r="A2" s="2" t="s">
        <v>1512</v>
      </c>
    </row>
    <row r="4" ht="30.0" customHeight="1">
      <c r="A4" s="3" t="s">
        <v>1515</v>
      </c>
      <c r="B4" s="3" t="s">
        <v>1516</v>
      </c>
      <c r="C4" s="3" t="s">
        <v>1517</v>
      </c>
      <c r="D4" s="3" t="s">
        <v>1518</v>
      </c>
      <c r="E4" s="3" t="s">
        <v>1519</v>
      </c>
      <c r="F4" s="3" t="s">
        <v>1520</v>
      </c>
      <c r="G4" s="3" t="s">
        <v>1521</v>
      </c>
      <c r="H4" s="3" t="s">
        <v>1522</v>
      </c>
      <c r="I4" s="3" t="s">
        <v>1523</v>
      </c>
      <c r="J4" s="3" t="s">
        <v>1524</v>
      </c>
      <c r="K4" s="3" t="s">
        <v>1525</v>
      </c>
      <c r="L4" s="3" t="s">
        <v>940</v>
      </c>
    </row>
    <row r="5">
      <c r="A5" s="7" t="s">
        <v>1527</v>
      </c>
      <c r="B5" s="8" t="s">
        <v>454</v>
      </c>
      <c r="C5" s="10" t="s">
        <v>1528</v>
      </c>
      <c r="D5" s="10" t="s">
        <v>1529</v>
      </c>
      <c r="E5" s="10" t="s">
        <v>1530</v>
      </c>
      <c r="F5" s="8" t="s">
        <v>1531</v>
      </c>
      <c r="G5" s="10" t="s">
        <v>1532</v>
      </c>
      <c r="H5" s="10" t="s">
        <v>1533</v>
      </c>
      <c r="I5" s="10" t="s">
        <v>1534</v>
      </c>
      <c r="J5" s="10" t="s">
        <v>1535</v>
      </c>
      <c r="K5" s="10" t="s">
        <v>1536</v>
      </c>
      <c r="L5" s="12" t="s">
        <v>1537</v>
      </c>
    </row>
    <row r="6">
      <c r="A6" s="14" t="s">
        <v>1539</v>
      </c>
      <c r="B6" s="16" t="s">
        <v>454</v>
      </c>
      <c r="C6" s="17" t="s">
        <v>1541</v>
      </c>
      <c r="D6" s="17" t="s">
        <v>1542</v>
      </c>
      <c r="E6" s="17" t="s">
        <v>1543</v>
      </c>
      <c r="F6" s="16" t="s">
        <v>1544</v>
      </c>
      <c r="G6" s="17"/>
      <c r="H6" s="17" t="s">
        <v>1545</v>
      </c>
      <c r="I6" s="17" t="s">
        <v>1534</v>
      </c>
      <c r="J6" s="17" t="s">
        <v>1547</v>
      </c>
      <c r="K6" s="17" t="s">
        <v>1548</v>
      </c>
      <c r="L6" s="20" t="s">
        <v>1537</v>
      </c>
    </row>
    <row r="7">
      <c r="A7" s="14" t="s">
        <v>1549</v>
      </c>
      <c r="B7" s="16" t="s">
        <v>500</v>
      </c>
      <c r="C7" s="17" t="s">
        <v>1550</v>
      </c>
      <c r="D7" s="17" t="s">
        <v>1551</v>
      </c>
      <c r="E7" s="17" t="s">
        <v>1553</v>
      </c>
      <c r="F7" s="16" t="s">
        <v>1544</v>
      </c>
      <c r="G7" s="17" t="s">
        <v>1554</v>
      </c>
      <c r="H7" s="17" t="s">
        <v>1555</v>
      </c>
      <c r="I7" s="17" t="s">
        <v>1514</v>
      </c>
      <c r="J7" s="17" t="s">
        <v>1547</v>
      </c>
      <c r="K7" s="17" t="s">
        <v>1556</v>
      </c>
      <c r="L7" s="20" t="s">
        <v>1537</v>
      </c>
    </row>
    <row r="8">
      <c r="A8" s="14" t="s">
        <v>1557</v>
      </c>
      <c r="B8" s="16" t="s">
        <v>480</v>
      </c>
      <c r="C8" s="17" t="s">
        <v>1558</v>
      </c>
      <c r="D8" s="17" t="s">
        <v>1559</v>
      </c>
      <c r="E8" s="17" t="s">
        <v>1560</v>
      </c>
      <c r="F8" s="16" t="s">
        <v>1544</v>
      </c>
      <c r="G8" s="17"/>
      <c r="H8" s="17"/>
      <c r="I8" s="17" t="s">
        <v>1562</v>
      </c>
      <c r="J8" s="17" t="s">
        <v>1547</v>
      </c>
      <c r="K8" s="17" t="s">
        <v>1564</v>
      </c>
      <c r="L8" s="20" t="s">
        <v>1537</v>
      </c>
    </row>
    <row r="9">
      <c r="A9" s="14" t="s">
        <v>1565</v>
      </c>
      <c r="B9" s="16" t="s">
        <v>461</v>
      </c>
      <c r="C9" s="17" t="s">
        <v>1566</v>
      </c>
      <c r="D9" s="17" t="s">
        <v>1567</v>
      </c>
      <c r="E9" s="17" t="s">
        <v>1568</v>
      </c>
      <c r="F9" s="16" t="s">
        <v>1544</v>
      </c>
      <c r="G9" s="17"/>
      <c r="H9" s="17"/>
      <c r="I9" s="17" t="s">
        <v>1570</v>
      </c>
      <c r="J9" s="17" t="s">
        <v>1547</v>
      </c>
      <c r="K9" s="17" t="s">
        <v>1571</v>
      </c>
      <c r="L9" s="20" t="s">
        <v>1537</v>
      </c>
    </row>
    <row r="10">
      <c r="A10" s="21" t="s">
        <v>1565</v>
      </c>
      <c r="B10" s="24" t="s">
        <v>704</v>
      </c>
      <c r="C10" s="22" t="s">
        <v>1566</v>
      </c>
      <c r="D10" s="22" t="s">
        <v>1567</v>
      </c>
      <c r="E10" s="22" t="s">
        <v>1575</v>
      </c>
      <c r="F10" s="24" t="s">
        <v>1531</v>
      </c>
      <c r="G10" s="22" t="s">
        <v>1577</v>
      </c>
      <c r="H10" s="22" t="s">
        <v>1578</v>
      </c>
      <c r="I10" s="22" t="s">
        <v>1579</v>
      </c>
      <c r="J10" s="22"/>
      <c r="K10" s="22" t="s">
        <v>1580</v>
      </c>
      <c r="L10" s="26" t="s">
        <v>1537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877C59B-318C-4CA7-880E-0D0B74A802F5}" filter="1" showAutoFilter="1">
      <autoFilter ref="$A$4:$L$10"/>
    </customSheetView>
  </customSheetViews>
  <mergeCells count="2">
    <mergeCell ref="A1:L1"/>
    <mergeCell ref="A2:L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22.0"/>
    <col customWidth="1" min="3" max="4" width="44.0"/>
    <col customWidth="1" min="5" max="5" width="48.0"/>
    <col customWidth="1" min="6" max="26" width="8.63"/>
  </cols>
  <sheetData>
    <row r="1" ht="31.5" customHeight="1">
      <c r="A1" s="1" t="s">
        <v>1625</v>
      </c>
    </row>
    <row r="2" ht="33.75" customHeight="1">
      <c r="A2" s="2" t="s">
        <v>1626</v>
      </c>
    </row>
    <row r="4" ht="30.0" customHeight="1">
      <c r="A4" s="3" t="s">
        <v>9</v>
      </c>
      <c r="B4" s="3" t="s">
        <v>1627</v>
      </c>
      <c r="C4" s="3" t="s">
        <v>1629</v>
      </c>
      <c r="D4" s="3" t="s">
        <v>1630</v>
      </c>
      <c r="E4" s="3" t="s">
        <v>1631</v>
      </c>
    </row>
    <row r="5">
      <c r="A5" s="7" t="s">
        <v>97</v>
      </c>
      <c r="B5" s="8" t="s">
        <v>887</v>
      </c>
      <c r="C5" s="10" t="s">
        <v>1514</v>
      </c>
      <c r="D5" s="10" t="s">
        <v>1514</v>
      </c>
      <c r="E5" s="12" t="s">
        <v>1633</v>
      </c>
    </row>
    <row r="6">
      <c r="A6" s="14" t="s">
        <v>97</v>
      </c>
      <c r="B6" s="16" t="s">
        <v>887</v>
      </c>
      <c r="C6" s="17" t="s">
        <v>1635</v>
      </c>
      <c r="D6" s="17" t="s">
        <v>1636</v>
      </c>
      <c r="E6" s="20" t="s">
        <v>1633</v>
      </c>
    </row>
    <row r="7">
      <c r="A7" s="14" t="s">
        <v>97</v>
      </c>
      <c r="B7" s="16" t="s">
        <v>887</v>
      </c>
      <c r="C7" s="17" t="s">
        <v>1639</v>
      </c>
      <c r="D7" s="17" t="s">
        <v>1640</v>
      </c>
      <c r="E7" s="20" t="s">
        <v>1633</v>
      </c>
    </row>
    <row r="8">
      <c r="A8" s="14" t="s">
        <v>97</v>
      </c>
      <c r="B8" s="16" t="s">
        <v>887</v>
      </c>
      <c r="C8" s="17" t="s">
        <v>1641</v>
      </c>
      <c r="D8" s="17" t="s">
        <v>1642</v>
      </c>
      <c r="E8" s="20" t="s">
        <v>1633</v>
      </c>
    </row>
    <row r="9">
      <c r="A9" s="14" t="s">
        <v>97</v>
      </c>
      <c r="B9" s="16" t="s">
        <v>887</v>
      </c>
      <c r="C9" s="17" t="s">
        <v>1645</v>
      </c>
      <c r="D9" s="17" t="s">
        <v>1646</v>
      </c>
      <c r="E9" s="20" t="s">
        <v>1633</v>
      </c>
    </row>
    <row r="10">
      <c r="A10" s="14" t="s">
        <v>97</v>
      </c>
      <c r="B10" s="16" t="s">
        <v>887</v>
      </c>
      <c r="C10" s="17" t="s">
        <v>1647</v>
      </c>
      <c r="D10" s="17" t="s">
        <v>1648</v>
      </c>
      <c r="E10" s="20" t="s">
        <v>1633</v>
      </c>
    </row>
    <row r="11">
      <c r="A11" s="14" t="s">
        <v>97</v>
      </c>
      <c r="B11" s="16" t="s">
        <v>887</v>
      </c>
      <c r="C11" s="17" t="s">
        <v>1650</v>
      </c>
      <c r="D11" s="17" t="s">
        <v>1648</v>
      </c>
      <c r="E11" s="20" t="s">
        <v>1633</v>
      </c>
    </row>
    <row r="12">
      <c r="A12" s="14" t="s">
        <v>97</v>
      </c>
      <c r="B12" s="16" t="s">
        <v>887</v>
      </c>
      <c r="C12" s="17" t="s">
        <v>1653</v>
      </c>
      <c r="D12" s="17" t="s">
        <v>1654</v>
      </c>
      <c r="E12" s="20" t="s">
        <v>1633</v>
      </c>
    </row>
    <row r="13">
      <c r="A13" s="14" t="s">
        <v>97</v>
      </c>
      <c r="B13" s="16" t="s">
        <v>887</v>
      </c>
      <c r="C13" s="17" t="s">
        <v>1657</v>
      </c>
      <c r="D13" s="17" t="s">
        <v>1658</v>
      </c>
      <c r="E13" s="20" t="s">
        <v>1633</v>
      </c>
    </row>
    <row r="14">
      <c r="A14" s="14" t="s">
        <v>97</v>
      </c>
      <c r="B14" s="16" t="s">
        <v>887</v>
      </c>
      <c r="C14" s="17" t="s">
        <v>1660</v>
      </c>
      <c r="D14" s="17" t="s">
        <v>1661</v>
      </c>
      <c r="E14" s="20" t="s">
        <v>1633</v>
      </c>
    </row>
    <row r="15">
      <c r="A15" s="14" t="s">
        <v>97</v>
      </c>
      <c r="B15" s="16" t="s">
        <v>887</v>
      </c>
      <c r="C15" s="17" t="s">
        <v>1663</v>
      </c>
      <c r="D15" s="17" t="s">
        <v>1664</v>
      </c>
      <c r="E15" s="20" t="s">
        <v>1633</v>
      </c>
    </row>
    <row r="16">
      <c r="A16" s="21" t="s">
        <v>97</v>
      </c>
      <c r="B16" s="24" t="s">
        <v>887</v>
      </c>
      <c r="C16" s="22" t="s">
        <v>1666</v>
      </c>
      <c r="D16" s="22" t="s">
        <v>1664</v>
      </c>
      <c r="E16" s="26" t="s">
        <v>1633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FBED371-B928-4F1E-BC52-E8E890B4F26E}" filter="1" showAutoFilter="1">
      <autoFilter ref="$A$4:$E$16"/>
    </customSheetView>
  </customSheetViews>
  <mergeCells count="2">
    <mergeCell ref="A1:E1"/>
    <mergeCell ref="A2:E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4.0"/>
    <col customWidth="1" min="2" max="2" width="58.0"/>
    <col customWidth="1" min="3" max="3" width="56.0"/>
    <col customWidth="1" min="4" max="8" width="18.0"/>
    <col customWidth="1" min="9" max="26" width="8.63"/>
  </cols>
  <sheetData>
    <row r="1" ht="31.5" customHeight="1">
      <c r="A1" s="1" t="s">
        <v>1675</v>
      </c>
    </row>
    <row r="2" ht="33.75" customHeight="1">
      <c r="A2" s="2" t="s">
        <v>1677</v>
      </c>
    </row>
    <row r="4">
      <c r="A4" s="40" t="s">
        <v>1678</v>
      </c>
      <c r="B4" s="41"/>
      <c r="C4" s="41"/>
      <c r="D4" s="41"/>
      <c r="E4" s="41"/>
      <c r="F4" s="41"/>
      <c r="G4" s="41"/>
      <c r="H4" s="42"/>
    </row>
    <row r="5">
      <c r="A5" s="43"/>
      <c r="B5" s="44"/>
      <c r="C5" s="44"/>
      <c r="D5" s="44"/>
      <c r="E5" s="44"/>
      <c r="F5" s="44"/>
      <c r="G5" s="44"/>
      <c r="H5" s="45"/>
    </row>
    <row r="7">
      <c r="A7" s="46" t="s">
        <v>1680</v>
      </c>
      <c r="B7" s="46" t="s">
        <v>1681</v>
      </c>
      <c r="D7" s="27" t="s">
        <v>1682</v>
      </c>
    </row>
    <row r="8">
      <c r="A8" s="47" t="s">
        <v>1392</v>
      </c>
      <c r="B8" s="48">
        <f>SUM('File Inventory'!F5:F8)</f>
        <v>31749</v>
      </c>
      <c r="D8" s="49" t="s">
        <v>1684</v>
      </c>
    </row>
    <row r="9">
      <c r="A9" s="50" t="s">
        <v>1394</v>
      </c>
      <c r="B9" s="51">
        <f>SUM('File Inventory'!G5:G8)</f>
        <v>841</v>
      </c>
    </row>
    <row r="10">
      <c r="A10" s="50" t="s">
        <v>1398</v>
      </c>
      <c r="B10" s="51">
        <f>'Estimated Effect'!B9</f>
        <v>11186</v>
      </c>
    </row>
    <row r="11">
      <c r="A11" s="50" t="s">
        <v>1416</v>
      </c>
      <c r="B11" s="51">
        <f>'Estimated Effect'!B17</f>
        <v>64301</v>
      </c>
    </row>
    <row r="12">
      <c r="A12" s="50" t="s">
        <v>1418</v>
      </c>
      <c r="B12" s="51">
        <f>'Estimated Effect'!B18</f>
        <v>6070</v>
      </c>
      <c r="D12" s="52" t="s">
        <v>1686</v>
      </c>
    </row>
    <row r="13">
      <c r="A13" s="50" t="s">
        <v>1689</v>
      </c>
      <c r="B13" s="51">
        <f>'Estimated Effect'!B14</f>
        <v>83</v>
      </c>
    </row>
    <row r="14">
      <c r="A14" s="50" t="s">
        <v>1690</v>
      </c>
      <c r="B14" s="51">
        <f>'Estimated Effect'!B16</f>
        <v>3</v>
      </c>
    </row>
    <row r="15">
      <c r="A15" s="53" t="s">
        <v>1692</v>
      </c>
      <c r="B15" s="54">
        <f>COUNTA('Data Quality'!A5:A30)</f>
        <v>26</v>
      </c>
    </row>
    <row r="17">
      <c r="A17" s="46" t="s">
        <v>1694</v>
      </c>
    </row>
    <row r="18" ht="30.0" customHeight="1">
      <c r="A18" s="3" t="s">
        <v>1696</v>
      </c>
      <c r="B18" s="3" t="s">
        <v>1697</v>
      </c>
      <c r="C18" s="3" t="s">
        <v>1698</v>
      </c>
    </row>
    <row r="19">
      <c r="A19" s="31" t="s">
        <v>1699</v>
      </c>
      <c r="B19" s="10" t="s">
        <v>1700</v>
      </c>
      <c r="C19" s="12" t="s">
        <v>1701</v>
      </c>
    </row>
    <row r="20">
      <c r="A20" s="32" t="s">
        <v>1702</v>
      </c>
      <c r="B20" s="17" t="s">
        <v>1703</v>
      </c>
      <c r="C20" s="20" t="s">
        <v>1704</v>
      </c>
    </row>
    <row r="21" ht="15.75" customHeight="1">
      <c r="A21" s="32" t="s">
        <v>1706</v>
      </c>
      <c r="B21" s="17" t="s">
        <v>1707</v>
      </c>
      <c r="C21" s="20" t="s">
        <v>1708</v>
      </c>
    </row>
    <row r="22" ht="15.75" customHeight="1">
      <c r="A22" s="32" t="s">
        <v>1709</v>
      </c>
      <c r="B22" s="17" t="s">
        <v>1710</v>
      </c>
      <c r="C22" s="20" t="s">
        <v>1711</v>
      </c>
    </row>
    <row r="23" ht="15.75" customHeight="1">
      <c r="A23" s="32" t="s">
        <v>1712</v>
      </c>
      <c r="B23" s="17" t="s">
        <v>1713</v>
      </c>
      <c r="C23" s="20" t="s">
        <v>1714</v>
      </c>
    </row>
    <row r="24" ht="15.75" customHeight="1">
      <c r="A24" s="33" t="s">
        <v>1717</v>
      </c>
      <c r="B24" s="22" t="s">
        <v>1718</v>
      </c>
      <c r="C24" s="26" t="s">
        <v>1719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E48000A-BC01-41BC-85DF-2085A5D4AB72}" filter="1" showAutoFilter="1">
      <autoFilter ref="$A$18:$C$24"/>
    </customSheetView>
  </customSheetViews>
  <mergeCells count="7">
    <mergeCell ref="A1:H1"/>
    <mergeCell ref="A2:H2"/>
    <mergeCell ref="A4:H5"/>
    <mergeCell ref="D7:H7"/>
    <mergeCell ref="D8:H11"/>
    <mergeCell ref="D12:H15"/>
    <mergeCell ref="A17:H17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